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wnloads\"/>
    </mc:Choice>
  </mc:AlternateContent>
  <bookViews>
    <workbookView xWindow="0" yWindow="0" windowWidth="19200" windowHeight="7190" firstSheet="2" activeTab="2"/>
  </bookViews>
  <sheets>
    <sheet name="01 male vs female" sheetId="3" r:id="rId1"/>
    <sheet name="03 order by city" sheetId="5" r:id="rId2"/>
    <sheet name="DASHBOARD SALES ANALYSIS" sheetId="10" r:id="rId3"/>
    <sheet name="02 month-wise Orders" sheetId="11" r:id="rId4"/>
    <sheet name="04 orders by city" sheetId="12" r:id="rId5"/>
    <sheet name="Sales_Data" sheetId="1" r:id="rId6"/>
  </sheets>
  <definedNames>
    <definedName name="_xlnm._FilterDatabase" localSheetId="5" hidden="1">Sales_Data!$A$1:$R$1</definedName>
    <definedName name="Slicer_month_wise">#N/A</definedName>
    <definedName name="Slicer_Ship_City">#N/A</definedName>
  </definedNames>
  <calcPr calcId="152511"/>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2" i="1"/>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2" i="1"/>
</calcChain>
</file>

<file path=xl/sharedStrings.xml><?xml version="1.0" encoding="utf-8"?>
<sst xmlns="http://schemas.openxmlformats.org/spreadsheetml/2006/main" count="5056" uniqueCount="1337">
  <si>
    <t>Index</t>
  </si>
  <si>
    <t>OrderID</t>
  </si>
  <si>
    <t>CustomerID</t>
  </si>
  <si>
    <t>Gender</t>
  </si>
  <si>
    <t>Age</t>
  </si>
  <si>
    <t>Date</t>
  </si>
  <si>
    <t>Status</t>
  </si>
  <si>
    <t>Channel</t>
  </si>
  <si>
    <t>Category</t>
  </si>
  <si>
    <t>Size</t>
  </si>
  <si>
    <t>Qty</t>
  </si>
  <si>
    <t>Amount</t>
  </si>
  <si>
    <t>Ship-City</t>
  </si>
  <si>
    <t>Ship-State</t>
  </si>
  <si>
    <t>ORD00001</t>
  </si>
  <si>
    <t>CUST00001</t>
  </si>
  <si>
    <t>2024-04-11</t>
  </si>
  <si>
    <t>Cancelled</t>
  </si>
  <si>
    <t>App</t>
  </si>
  <si>
    <t>Electronics</t>
  </si>
  <si>
    <t>XL</t>
  </si>
  <si>
    <t>Nagpur</t>
  </si>
  <si>
    <t>Maharashtra</t>
  </si>
  <si>
    <t>ORD00002</t>
  </si>
  <si>
    <t>CUST00002</t>
  </si>
  <si>
    <t>2024-04-05</t>
  </si>
  <si>
    <t>Returned</t>
  </si>
  <si>
    <t>Mumbai</t>
  </si>
  <si>
    <t>ORD00003</t>
  </si>
  <si>
    <t>CUST00003</t>
  </si>
  <si>
    <t>2024-02-22</t>
  </si>
  <si>
    <t>Delivered</t>
  </si>
  <si>
    <t>S</t>
  </si>
  <si>
    <t>Delhi</t>
  </si>
  <si>
    <t>ORD00004</t>
  </si>
  <si>
    <t>CUST00004</t>
  </si>
  <si>
    <t>2024-02-27</t>
  </si>
  <si>
    <t>Store</t>
  </si>
  <si>
    <t>Clothing</t>
  </si>
  <si>
    <t>M</t>
  </si>
  <si>
    <t>Pune</t>
  </si>
  <si>
    <t>ORD00005</t>
  </si>
  <si>
    <t>CUST00005</t>
  </si>
  <si>
    <t>2024-04-20</t>
  </si>
  <si>
    <t>Ahmedabad</t>
  </si>
  <si>
    <t>Gujarat</t>
  </si>
  <si>
    <t>ORD00006</t>
  </si>
  <si>
    <t>CUST00006</t>
  </si>
  <si>
    <t>2024-04-06</t>
  </si>
  <si>
    <t>Shoes</t>
  </si>
  <si>
    <t>ORD00007</t>
  </si>
  <si>
    <t>CUST00007</t>
  </si>
  <si>
    <t>2024-04-23</t>
  </si>
  <si>
    <t>ORD00008</t>
  </si>
  <si>
    <t>CUST00008</t>
  </si>
  <si>
    <t>2024-08-25</t>
  </si>
  <si>
    <t>Online</t>
  </si>
  <si>
    <t>Bangalore</t>
  </si>
  <si>
    <t>Karnataka</t>
  </si>
  <si>
    <t>ORD00009</t>
  </si>
  <si>
    <t>CUST00009</t>
  </si>
  <si>
    <t>2024-02-24</t>
  </si>
  <si>
    <t>Accessories</t>
  </si>
  <si>
    <t>ORD00010</t>
  </si>
  <si>
    <t>CUST00010</t>
  </si>
  <si>
    <t>2024-09-04</t>
  </si>
  <si>
    <t>L</t>
  </si>
  <si>
    <t>ORD00011</t>
  </si>
  <si>
    <t>CUST00011</t>
  </si>
  <si>
    <t>2024-12-29</t>
  </si>
  <si>
    <t>ORD00012</t>
  </si>
  <si>
    <t>CUST00012</t>
  </si>
  <si>
    <t>2024-08-14</t>
  </si>
  <si>
    <t>ORD00013</t>
  </si>
  <si>
    <t>CUST00013</t>
  </si>
  <si>
    <t>2024-10-05</t>
  </si>
  <si>
    <t>ORD00014</t>
  </si>
  <si>
    <t>CUST00014</t>
  </si>
  <si>
    <t>2024-08-18</t>
  </si>
  <si>
    <t>Chennai</t>
  </si>
  <si>
    <t>Tamil Nadu</t>
  </si>
  <si>
    <t>ORD00015</t>
  </si>
  <si>
    <t>CUST00015</t>
  </si>
  <si>
    <t>2024-07-10</t>
  </si>
  <si>
    <t>ORD00016</t>
  </si>
  <si>
    <t>CUST00016</t>
  </si>
  <si>
    <t>2024-07-14</t>
  </si>
  <si>
    <t>ORD00017</t>
  </si>
  <si>
    <t>CUST00017</t>
  </si>
  <si>
    <t>2024-11-24</t>
  </si>
  <si>
    <t>ORD00018</t>
  </si>
  <si>
    <t>CUST00018</t>
  </si>
  <si>
    <t>2024-12-02</t>
  </si>
  <si>
    <t>ORD00019</t>
  </si>
  <si>
    <t>CUST00019</t>
  </si>
  <si>
    <t>2024-09-18</t>
  </si>
  <si>
    <t>ORD00020</t>
  </si>
  <si>
    <t>CUST00020</t>
  </si>
  <si>
    <t>2024-07-22</t>
  </si>
  <si>
    <t>Hyderabad</t>
  </si>
  <si>
    <t>Telangana</t>
  </si>
  <si>
    <t>ORD00021</t>
  </si>
  <si>
    <t>CUST00021</t>
  </si>
  <si>
    <t>2024-10-07</t>
  </si>
  <si>
    <t>ORD00022</t>
  </si>
  <si>
    <t>CUST00022</t>
  </si>
  <si>
    <t>2024-09-07</t>
  </si>
  <si>
    <t>ORD00023</t>
  </si>
  <si>
    <t>CUST00023</t>
  </si>
  <si>
    <t>2024-11-22</t>
  </si>
  <si>
    <t>ORD00024</t>
  </si>
  <si>
    <t>CUST00024</t>
  </si>
  <si>
    <t>2024-07-08</t>
  </si>
  <si>
    <t>ORD00025</t>
  </si>
  <si>
    <t>CUST00025</t>
  </si>
  <si>
    <t>ORD00026</t>
  </si>
  <si>
    <t>CUST00026</t>
  </si>
  <si>
    <t>2024-09-21</t>
  </si>
  <si>
    <t>ORD00027</t>
  </si>
  <si>
    <t>CUST00027</t>
  </si>
  <si>
    <t>2024-06-07</t>
  </si>
  <si>
    <t>ORD00028</t>
  </si>
  <si>
    <t>CUST00028</t>
  </si>
  <si>
    <t>2024-05-12</t>
  </si>
  <si>
    <t>ORD00029</t>
  </si>
  <si>
    <t>CUST00029</t>
  </si>
  <si>
    <t>2024-05-19</t>
  </si>
  <si>
    <t>ORD00030</t>
  </si>
  <si>
    <t>CUST00030</t>
  </si>
  <si>
    <t>2024-06-22</t>
  </si>
  <si>
    <t>ORD00031</t>
  </si>
  <si>
    <t>CUST00031</t>
  </si>
  <si>
    <t>2024-02-19</t>
  </si>
  <si>
    <t>ORD00032</t>
  </si>
  <si>
    <t>CUST00032</t>
  </si>
  <si>
    <t>2024-11-21</t>
  </si>
  <si>
    <t>ORD00033</t>
  </si>
  <si>
    <t>CUST00033</t>
  </si>
  <si>
    <t>ORD00034</t>
  </si>
  <si>
    <t>CUST00034</t>
  </si>
  <si>
    <t>2024-08-31</t>
  </si>
  <si>
    <t>ORD00035</t>
  </si>
  <si>
    <t>CUST00035</t>
  </si>
  <si>
    <t>ORD00036</t>
  </si>
  <si>
    <t>CUST00036</t>
  </si>
  <si>
    <t>2024-07-21</t>
  </si>
  <si>
    <t>ORD00037</t>
  </si>
  <si>
    <t>CUST00037</t>
  </si>
  <si>
    <t>2024-07-06</t>
  </si>
  <si>
    <t>ORD00038</t>
  </si>
  <si>
    <t>CUST00038</t>
  </si>
  <si>
    <t>2024-04-07</t>
  </si>
  <si>
    <t>ORD00039</t>
  </si>
  <si>
    <t>CUST00039</t>
  </si>
  <si>
    <t>ORD00040</t>
  </si>
  <si>
    <t>CUST00040</t>
  </si>
  <si>
    <t>2024-01-05</t>
  </si>
  <si>
    <t>ORD00041</t>
  </si>
  <si>
    <t>CUST00041</t>
  </si>
  <si>
    <t>2024-04-13</t>
  </si>
  <si>
    <t>ORD00042</t>
  </si>
  <si>
    <t>CUST00042</t>
  </si>
  <si>
    <t>ORD00043</t>
  </si>
  <si>
    <t>CUST00043</t>
  </si>
  <si>
    <t>2024-06-29</t>
  </si>
  <si>
    <t>ORD00044</t>
  </si>
  <si>
    <t>CUST00044</t>
  </si>
  <si>
    <t>2024-02-11</t>
  </si>
  <si>
    <t>ORD00045</t>
  </si>
  <si>
    <t>CUST00045</t>
  </si>
  <si>
    <t>2024-03-20</t>
  </si>
  <si>
    <t>ORD00046</t>
  </si>
  <si>
    <t>CUST00046</t>
  </si>
  <si>
    <t>2024-07-05</t>
  </si>
  <si>
    <t>ORD00047</t>
  </si>
  <si>
    <t>CUST00047</t>
  </si>
  <si>
    <t>2024-10-28</t>
  </si>
  <si>
    <t>ORD00048</t>
  </si>
  <si>
    <t>CUST00048</t>
  </si>
  <si>
    <t>2024-06-09</t>
  </si>
  <si>
    <t>ORD00049</t>
  </si>
  <si>
    <t>CUST00049</t>
  </si>
  <si>
    <t>2024-03-03</t>
  </si>
  <si>
    <t>ORD00050</t>
  </si>
  <si>
    <t>CUST00050</t>
  </si>
  <si>
    <t>2024-10-13</t>
  </si>
  <si>
    <t>ORD00051</t>
  </si>
  <si>
    <t>CUST00051</t>
  </si>
  <si>
    <t>2024-08-29</t>
  </si>
  <si>
    <t>ORD00052</t>
  </si>
  <si>
    <t>CUST00052</t>
  </si>
  <si>
    <t>2024-05-22</t>
  </si>
  <si>
    <t>ORD00053</t>
  </si>
  <si>
    <t>CUST00053</t>
  </si>
  <si>
    <t>2024-04-21</t>
  </si>
  <si>
    <t>ORD00054</t>
  </si>
  <si>
    <t>CUST00054</t>
  </si>
  <si>
    <t>2024-07-15</t>
  </si>
  <si>
    <t>ORD00055</t>
  </si>
  <si>
    <t>CUST00055</t>
  </si>
  <si>
    <t>2024-12-24</t>
  </si>
  <si>
    <t>ORD00056</t>
  </si>
  <si>
    <t>CUST00056</t>
  </si>
  <si>
    <t>ORD00057</t>
  </si>
  <si>
    <t>CUST00057</t>
  </si>
  <si>
    <t>2024-11-02</t>
  </si>
  <si>
    <t>ORD00058</t>
  </si>
  <si>
    <t>CUST00058</t>
  </si>
  <si>
    <t>2024-04-29</t>
  </si>
  <si>
    <t>ORD00059</t>
  </si>
  <si>
    <t>CUST00059</t>
  </si>
  <si>
    <t>2024-04-10</t>
  </si>
  <si>
    <t>ORD00060</t>
  </si>
  <si>
    <t>CUST00060</t>
  </si>
  <si>
    <t>2024-12-18</t>
  </si>
  <si>
    <t>ORD00061</t>
  </si>
  <si>
    <t>CUST00061</t>
  </si>
  <si>
    <t>2024-02-26</t>
  </si>
  <si>
    <t>ORD00062</t>
  </si>
  <si>
    <t>CUST00062</t>
  </si>
  <si>
    <t>2024-02-08</t>
  </si>
  <si>
    <t>ORD00063</t>
  </si>
  <si>
    <t>CUST00063</t>
  </si>
  <si>
    <t>ORD00064</t>
  </si>
  <si>
    <t>CUST00064</t>
  </si>
  <si>
    <t>2024-04-19</t>
  </si>
  <si>
    <t>ORD00065</t>
  </si>
  <si>
    <t>CUST00065</t>
  </si>
  <si>
    <t>2024-12-20</t>
  </si>
  <si>
    <t>ORD00066</t>
  </si>
  <si>
    <t>CUST00066</t>
  </si>
  <si>
    <t>2024-01-04</t>
  </si>
  <si>
    <t>ORD00067</t>
  </si>
  <si>
    <t>CUST00067</t>
  </si>
  <si>
    <t>2024-10-14</t>
  </si>
  <si>
    <t>ORD00068</t>
  </si>
  <si>
    <t>CUST00068</t>
  </si>
  <si>
    <t>2024-03-16</t>
  </si>
  <si>
    <t>ORD00069</t>
  </si>
  <si>
    <t>CUST00069</t>
  </si>
  <si>
    <t>2024-12-05</t>
  </si>
  <si>
    <t>ORD00070</t>
  </si>
  <si>
    <t>CUST00070</t>
  </si>
  <si>
    <t>2024-12-08</t>
  </si>
  <si>
    <t>ORD00071</t>
  </si>
  <si>
    <t>CUST00071</t>
  </si>
  <si>
    <t>2024-05-10</t>
  </si>
  <si>
    <t>ORD00072</t>
  </si>
  <si>
    <t>CUST00072</t>
  </si>
  <si>
    <t>2024-08-20</t>
  </si>
  <si>
    <t>ORD00073</t>
  </si>
  <si>
    <t>CUST00073</t>
  </si>
  <si>
    <t>ORD00074</t>
  </si>
  <si>
    <t>CUST00074</t>
  </si>
  <si>
    <t>2024-01-13</t>
  </si>
  <si>
    <t>ORD00075</t>
  </si>
  <si>
    <t>CUST00075</t>
  </si>
  <si>
    <t>2024-05-07</t>
  </si>
  <si>
    <t>ORD00076</t>
  </si>
  <si>
    <t>CUST00076</t>
  </si>
  <si>
    <t>2024-01-20</t>
  </si>
  <si>
    <t>ORD00077</t>
  </si>
  <si>
    <t>CUST00077</t>
  </si>
  <si>
    <t>2024-02-09</t>
  </si>
  <si>
    <t>ORD00078</t>
  </si>
  <si>
    <t>CUST00078</t>
  </si>
  <si>
    <t>2024-04-24</t>
  </si>
  <si>
    <t>ORD00079</t>
  </si>
  <si>
    <t>CUST00079</t>
  </si>
  <si>
    <t>2024-11-29</t>
  </si>
  <si>
    <t>ORD00080</t>
  </si>
  <si>
    <t>CUST00080</t>
  </si>
  <si>
    <t>2024-12-03</t>
  </si>
  <si>
    <t>ORD00081</t>
  </si>
  <si>
    <t>CUST00081</t>
  </si>
  <si>
    <t>2024-02-13</t>
  </si>
  <si>
    <t>ORD00082</t>
  </si>
  <si>
    <t>CUST00082</t>
  </si>
  <si>
    <t>ORD00083</t>
  </si>
  <si>
    <t>CUST00083</t>
  </si>
  <si>
    <t>2024-02-05</t>
  </si>
  <si>
    <t>ORD00084</t>
  </si>
  <si>
    <t>CUST00084</t>
  </si>
  <si>
    <t>2024-03-30</t>
  </si>
  <si>
    <t>ORD00085</t>
  </si>
  <si>
    <t>CUST00085</t>
  </si>
  <si>
    <t>2024-03-21</t>
  </si>
  <si>
    <t>ORD00086</t>
  </si>
  <si>
    <t>CUST00086</t>
  </si>
  <si>
    <t>2024-11-27</t>
  </si>
  <si>
    <t>ORD00087</t>
  </si>
  <si>
    <t>CUST00087</t>
  </si>
  <si>
    <t>2024-08-13</t>
  </si>
  <si>
    <t>ORD00088</t>
  </si>
  <si>
    <t>CUST00088</t>
  </si>
  <si>
    <t>2024-12-04</t>
  </si>
  <si>
    <t>ORD00089</t>
  </si>
  <si>
    <t>CUST00089</t>
  </si>
  <si>
    <t>2024-05-06</t>
  </si>
  <si>
    <t>ORD00090</t>
  </si>
  <si>
    <t>CUST00090</t>
  </si>
  <si>
    <t>2024-03-07</t>
  </si>
  <si>
    <t>ORD00091</t>
  </si>
  <si>
    <t>CUST00091</t>
  </si>
  <si>
    <t>2024-07-26</t>
  </si>
  <si>
    <t>ORD00092</t>
  </si>
  <si>
    <t>CUST00092</t>
  </si>
  <si>
    <t>2024-07-28</t>
  </si>
  <si>
    <t>ORD00093</t>
  </si>
  <si>
    <t>CUST00093</t>
  </si>
  <si>
    <t>2024-03-25</t>
  </si>
  <si>
    <t>ORD00094</t>
  </si>
  <si>
    <t>CUST00094</t>
  </si>
  <si>
    <t>2024-05-31</t>
  </si>
  <si>
    <t>ORD00095</t>
  </si>
  <si>
    <t>CUST00095</t>
  </si>
  <si>
    <t>2024-04-02</t>
  </si>
  <si>
    <t>ORD00096</t>
  </si>
  <si>
    <t>CUST00096</t>
  </si>
  <si>
    <t>2024-01-27</t>
  </si>
  <si>
    <t>ORD00097</t>
  </si>
  <si>
    <t>CUST00097</t>
  </si>
  <si>
    <t>ORD00098</t>
  </si>
  <si>
    <t>CUST00098</t>
  </si>
  <si>
    <t>ORD00099</t>
  </si>
  <si>
    <t>CUST00099</t>
  </si>
  <si>
    <t>ORD00100</t>
  </si>
  <si>
    <t>CUST00100</t>
  </si>
  <si>
    <t>2024-09-13</t>
  </si>
  <si>
    <t>ORD00101</t>
  </si>
  <si>
    <t>CUST00101</t>
  </si>
  <si>
    <t>2024-08-22</t>
  </si>
  <si>
    <t>ORD00102</t>
  </si>
  <si>
    <t>CUST00102</t>
  </si>
  <si>
    <t>ORD00103</t>
  </si>
  <si>
    <t>CUST00103</t>
  </si>
  <si>
    <t>2024-02-04</t>
  </si>
  <si>
    <t>ORD00104</t>
  </si>
  <si>
    <t>CUST00104</t>
  </si>
  <si>
    <t>2024-07-07</t>
  </si>
  <si>
    <t>ORD00105</t>
  </si>
  <si>
    <t>CUST00105</t>
  </si>
  <si>
    <t>2024-12-28</t>
  </si>
  <si>
    <t>ORD00106</t>
  </si>
  <si>
    <t>CUST00106</t>
  </si>
  <si>
    <t>ORD00107</t>
  </si>
  <si>
    <t>CUST00107</t>
  </si>
  <si>
    <t>2024-08-24</t>
  </si>
  <si>
    <t>ORD00108</t>
  </si>
  <si>
    <t>CUST00108</t>
  </si>
  <si>
    <t>ORD00109</t>
  </si>
  <si>
    <t>CUST00109</t>
  </si>
  <si>
    <t>ORD00110</t>
  </si>
  <si>
    <t>CUST00110</t>
  </si>
  <si>
    <t>2024-10-30</t>
  </si>
  <si>
    <t>ORD00111</t>
  </si>
  <si>
    <t>CUST00111</t>
  </si>
  <si>
    <t>2024-01-24</t>
  </si>
  <si>
    <t>ORD00112</t>
  </si>
  <si>
    <t>CUST00112</t>
  </si>
  <si>
    <t>ORD00113</t>
  </si>
  <si>
    <t>CUST00113</t>
  </si>
  <si>
    <t>ORD00114</t>
  </si>
  <si>
    <t>CUST00114</t>
  </si>
  <si>
    <t>ORD00115</t>
  </si>
  <si>
    <t>CUST00115</t>
  </si>
  <si>
    <t>ORD00116</t>
  </si>
  <si>
    <t>CUST00116</t>
  </si>
  <si>
    <t>2024-05-29</t>
  </si>
  <si>
    <t>ORD00117</t>
  </si>
  <si>
    <t>CUST00117</t>
  </si>
  <si>
    <t>2024-04-03</t>
  </si>
  <si>
    <t>ORD00118</t>
  </si>
  <si>
    <t>CUST00118</t>
  </si>
  <si>
    <t>ORD00119</t>
  </si>
  <si>
    <t>CUST00119</t>
  </si>
  <si>
    <t>2024-04-17</t>
  </si>
  <si>
    <t>ORD00120</t>
  </si>
  <si>
    <t>CUST00120</t>
  </si>
  <si>
    <t>2024-03-01</t>
  </si>
  <si>
    <t>ORD00121</t>
  </si>
  <si>
    <t>CUST00121</t>
  </si>
  <si>
    <t>2024-01-12</t>
  </si>
  <si>
    <t>ORD00122</t>
  </si>
  <si>
    <t>CUST00122</t>
  </si>
  <si>
    <t>2024-11-04</t>
  </si>
  <si>
    <t>ORD00123</t>
  </si>
  <si>
    <t>CUST00123</t>
  </si>
  <si>
    <t>2024-06-18</t>
  </si>
  <si>
    <t>ORD00124</t>
  </si>
  <si>
    <t>CUST00124</t>
  </si>
  <si>
    <t>2024-05-04</t>
  </si>
  <si>
    <t>ORD00125</t>
  </si>
  <si>
    <t>CUST00125</t>
  </si>
  <si>
    <t>2024-11-20</t>
  </si>
  <si>
    <t>ORD00126</t>
  </si>
  <si>
    <t>CUST00126</t>
  </si>
  <si>
    <t>2024-05-18</t>
  </si>
  <si>
    <t>ORD00127</t>
  </si>
  <si>
    <t>CUST00127</t>
  </si>
  <si>
    <t>2024-05-30</t>
  </si>
  <si>
    <t>ORD00128</t>
  </si>
  <si>
    <t>CUST00128</t>
  </si>
  <si>
    <t>ORD00129</t>
  </si>
  <si>
    <t>CUST00129</t>
  </si>
  <si>
    <t>2024-09-23</t>
  </si>
  <si>
    <t>ORD00130</t>
  </si>
  <si>
    <t>CUST00130</t>
  </si>
  <si>
    <t>2024-06-28</t>
  </si>
  <si>
    <t>ORD00131</t>
  </si>
  <si>
    <t>CUST00131</t>
  </si>
  <si>
    <t>ORD00132</t>
  </si>
  <si>
    <t>CUST00132</t>
  </si>
  <si>
    <t>2024-01-14</t>
  </si>
  <si>
    <t>ORD00133</t>
  </si>
  <si>
    <t>CUST00133</t>
  </si>
  <si>
    <t>2024-11-14</t>
  </si>
  <si>
    <t>ORD00134</t>
  </si>
  <si>
    <t>CUST00134</t>
  </si>
  <si>
    <t>ORD00135</t>
  </si>
  <si>
    <t>CUST00135</t>
  </si>
  <si>
    <t>2024-06-15</t>
  </si>
  <si>
    <t>ORD00136</t>
  </si>
  <si>
    <t>CUST00136</t>
  </si>
  <si>
    <t>2024-06-30</t>
  </si>
  <si>
    <t>ORD00137</t>
  </si>
  <si>
    <t>CUST00137</t>
  </si>
  <si>
    <t>2024-03-22</t>
  </si>
  <si>
    <t>ORD00138</t>
  </si>
  <si>
    <t>CUST00138</t>
  </si>
  <si>
    <t>2024-11-09</t>
  </si>
  <si>
    <t>ORD00139</t>
  </si>
  <si>
    <t>CUST00139</t>
  </si>
  <si>
    <t>2024-12-10</t>
  </si>
  <si>
    <t>ORD00140</t>
  </si>
  <si>
    <t>CUST00140</t>
  </si>
  <si>
    <t>2024-09-02</t>
  </si>
  <si>
    <t>ORD00141</t>
  </si>
  <si>
    <t>CUST00141</t>
  </si>
  <si>
    <t>ORD00142</t>
  </si>
  <si>
    <t>CUST00142</t>
  </si>
  <si>
    <t>2024-09-30</t>
  </si>
  <si>
    <t>ORD00143</t>
  </si>
  <si>
    <t>CUST00143</t>
  </si>
  <si>
    <t>2024-11-19</t>
  </si>
  <si>
    <t>ORD00144</t>
  </si>
  <si>
    <t>CUST00144</t>
  </si>
  <si>
    <t>2024-04-08</t>
  </si>
  <si>
    <t>ORD00145</t>
  </si>
  <si>
    <t>CUST00145</t>
  </si>
  <si>
    <t>2024-11-05</t>
  </si>
  <si>
    <t>ORD00146</t>
  </si>
  <si>
    <t>CUST00146</t>
  </si>
  <si>
    <t>2024-03-05</t>
  </si>
  <si>
    <t>ORD00147</t>
  </si>
  <si>
    <t>CUST00147</t>
  </si>
  <si>
    <t>2024-05-25</t>
  </si>
  <si>
    <t>ORD00148</t>
  </si>
  <si>
    <t>CUST00148</t>
  </si>
  <si>
    <t>2024-01-10</t>
  </si>
  <si>
    <t>ORD00149</t>
  </si>
  <si>
    <t>CUST00149</t>
  </si>
  <si>
    <t>2024-10-12</t>
  </si>
  <si>
    <t>ORD00150</t>
  </si>
  <si>
    <t>CUST00150</t>
  </si>
  <si>
    <t>ORD00151</t>
  </si>
  <si>
    <t>CUST00151</t>
  </si>
  <si>
    <t>2024-10-17</t>
  </si>
  <si>
    <t>ORD00152</t>
  </si>
  <si>
    <t>CUST00152</t>
  </si>
  <si>
    <t>2024-08-26</t>
  </si>
  <si>
    <t>ORD00153</t>
  </si>
  <si>
    <t>CUST00153</t>
  </si>
  <si>
    <t>2024-05-15</t>
  </si>
  <si>
    <t>ORD00154</t>
  </si>
  <si>
    <t>CUST00154</t>
  </si>
  <si>
    <t>2024-08-01</t>
  </si>
  <si>
    <t>ORD00155</t>
  </si>
  <si>
    <t>CUST00155</t>
  </si>
  <si>
    <t>2024-08-11</t>
  </si>
  <si>
    <t>ORD00156</t>
  </si>
  <si>
    <t>CUST00156</t>
  </si>
  <si>
    <t>2024-10-09</t>
  </si>
  <si>
    <t>ORD00157</t>
  </si>
  <si>
    <t>CUST00157</t>
  </si>
  <si>
    <t>2024-04-09</t>
  </si>
  <si>
    <t>ORD00158</t>
  </si>
  <si>
    <t>CUST00158</t>
  </si>
  <si>
    <t>ORD00159</t>
  </si>
  <si>
    <t>CUST00159</t>
  </si>
  <si>
    <t>2024-12-31</t>
  </si>
  <si>
    <t>ORD00160</t>
  </si>
  <si>
    <t>CUST00160</t>
  </si>
  <si>
    <t>2024-04-30</t>
  </si>
  <si>
    <t>ORD00161</t>
  </si>
  <si>
    <t>CUST00161</t>
  </si>
  <si>
    <t>2024-10-31</t>
  </si>
  <si>
    <t>ORD00162</t>
  </si>
  <si>
    <t>CUST00162</t>
  </si>
  <si>
    <t>ORD00163</t>
  </si>
  <si>
    <t>CUST00163</t>
  </si>
  <si>
    <t>2024-01-21</t>
  </si>
  <si>
    <t>ORD00164</t>
  </si>
  <si>
    <t>CUST00164</t>
  </si>
  <si>
    <t>2024-10-24</t>
  </si>
  <si>
    <t>ORD00165</t>
  </si>
  <si>
    <t>CUST00165</t>
  </si>
  <si>
    <t>2024-02-21</t>
  </si>
  <si>
    <t>ORD00166</t>
  </si>
  <si>
    <t>CUST00166</t>
  </si>
  <si>
    <t>2024-06-01</t>
  </si>
  <si>
    <t>ORD00167</t>
  </si>
  <si>
    <t>CUST00167</t>
  </si>
  <si>
    <t>ORD00168</t>
  </si>
  <si>
    <t>CUST00168</t>
  </si>
  <si>
    <t>2024-01-25</t>
  </si>
  <si>
    <t>ORD00169</t>
  </si>
  <si>
    <t>CUST00169</t>
  </si>
  <si>
    <t>2024-02-29</t>
  </si>
  <si>
    <t>ORD00170</t>
  </si>
  <si>
    <t>CUST00170</t>
  </si>
  <si>
    <t>2024-11-12</t>
  </si>
  <si>
    <t>ORD00171</t>
  </si>
  <si>
    <t>CUST00171</t>
  </si>
  <si>
    <t>ORD00172</t>
  </si>
  <si>
    <t>CUST00172</t>
  </si>
  <si>
    <t>2024-03-26</t>
  </si>
  <si>
    <t>ORD00173</t>
  </si>
  <si>
    <t>CUST00173</t>
  </si>
  <si>
    <t>ORD00174</t>
  </si>
  <si>
    <t>CUST00174</t>
  </si>
  <si>
    <t>ORD00175</t>
  </si>
  <si>
    <t>CUST00175</t>
  </si>
  <si>
    <t>2024-08-09</t>
  </si>
  <si>
    <t>ORD00176</t>
  </si>
  <si>
    <t>CUST00176</t>
  </si>
  <si>
    <t>2024-05-17</t>
  </si>
  <si>
    <t>ORD00177</t>
  </si>
  <si>
    <t>CUST00177</t>
  </si>
  <si>
    <t>ORD00178</t>
  </si>
  <si>
    <t>CUST00178</t>
  </si>
  <si>
    <t>2024-10-15</t>
  </si>
  <si>
    <t>ORD00179</t>
  </si>
  <si>
    <t>CUST00179</t>
  </si>
  <si>
    <t>2024-08-06</t>
  </si>
  <si>
    <t>ORD00180</t>
  </si>
  <si>
    <t>CUST00180</t>
  </si>
  <si>
    <t>ORD00181</t>
  </si>
  <si>
    <t>CUST00181</t>
  </si>
  <si>
    <t>ORD00182</t>
  </si>
  <si>
    <t>CUST00182</t>
  </si>
  <si>
    <t>2024-12-14</t>
  </si>
  <si>
    <t>ORD00183</t>
  </si>
  <si>
    <t>CUST00183</t>
  </si>
  <si>
    <t>ORD00184</t>
  </si>
  <si>
    <t>CUST00184</t>
  </si>
  <si>
    <t>ORD00185</t>
  </si>
  <si>
    <t>CUST00185</t>
  </si>
  <si>
    <t>2024-07-29</t>
  </si>
  <si>
    <t>ORD00186</t>
  </si>
  <si>
    <t>CUST00186</t>
  </si>
  <si>
    <t>ORD00187</t>
  </si>
  <si>
    <t>CUST00187</t>
  </si>
  <si>
    <t>2024-11-03</t>
  </si>
  <si>
    <t>ORD00188</t>
  </si>
  <si>
    <t>CUST00188</t>
  </si>
  <si>
    <t>ORD00189</t>
  </si>
  <si>
    <t>CUST00189</t>
  </si>
  <si>
    <t>ORD00190</t>
  </si>
  <si>
    <t>CUST00190</t>
  </si>
  <si>
    <t>ORD00191</t>
  </si>
  <si>
    <t>CUST00191</t>
  </si>
  <si>
    <t>2024-04-16</t>
  </si>
  <si>
    <t>ORD00192</t>
  </si>
  <si>
    <t>CUST00192</t>
  </si>
  <si>
    <t>ORD00193</t>
  </si>
  <si>
    <t>CUST00193</t>
  </si>
  <si>
    <t>ORD00194</t>
  </si>
  <si>
    <t>CUST00194</t>
  </si>
  <si>
    <t>2024-10-21</t>
  </si>
  <si>
    <t>ORD00195</t>
  </si>
  <si>
    <t>CUST00195</t>
  </si>
  <si>
    <t>2024-05-08</t>
  </si>
  <si>
    <t>ORD00196</t>
  </si>
  <si>
    <t>CUST00196</t>
  </si>
  <si>
    <t>2024-07-18</t>
  </si>
  <si>
    <t>ORD00197</t>
  </si>
  <si>
    <t>CUST00197</t>
  </si>
  <si>
    <t>2024-04-22</t>
  </si>
  <si>
    <t>ORD00198</t>
  </si>
  <si>
    <t>CUST00198</t>
  </si>
  <si>
    <t>2024-07-27</t>
  </si>
  <si>
    <t>ORD00199</t>
  </si>
  <si>
    <t>CUST00199</t>
  </si>
  <si>
    <t>2024-02-01</t>
  </si>
  <si>
    <t>ORD00200</t>
  </si>
  <si>
    <t>CUST00200</t>
  </si>
  <si>
    <t>ORD00201</t>
  </si>
  <si>
    <t>CUST00201</t>
  </si>
  <si>
    <t>2024-02-06</t>
  </si>
  <si>
    <t>ORD00202</t>
  </si>
  <si>
    <t>CUST00202</t>
  </si>
  <si>
    <t>2024-06-10</t>
  </si>
  <si>
    <t>ORD00203</t>
  </si>
  <si>
    <t>CUST00203</t>
  </si>
  <si>
    <t>2024-07-13</t>
  </si>
  <si>
    <t>ORD00204</t>
  </si>
  <si>
    <t>CUST00204</t>
  </si>
  <si>
    <t>2024-09-26</t>
  </si>
  <si>
    <t>ORD00205</t>
  </si>
  <si>
    <t>CUST00205</t>
  </si>
  <si>
    <t>ORD00206</t>
  </si>
  <si>
    <t>CUST00206</t>
  </si>
  <si>
    <t>ORD00207</t>
  </si>
  <si>
    <t>CUST00207</t>
  </si>
  <si>
    <t>2024-11-26</t>
  </si>
  <si>
    <t>ORD00208</t>
  </si>
  <si>
    <t>CUST00208</t>
  </si>
  <si>
    <t>ORD00209</t>
  </si>
  <si>
    <t>CUST00209</t>
  </si>
  <si>
    <t>ORD00210</t>
  </si>
  <si>
    <t>CUST00210</t>
  </si>
  <si>
    <t>2024-06-04</t>
  </si>
  <si>
    <t>ORD00211</t>
  </si>
  <si>
    <t>CUST00211</t>
  </si>
  <si>
    <t>2024-08-23</t>
  </si>
  <si>
    <t>ORD00212</t>
  </si>
  <si>
    <t>CUST00212</t>
  </si>
  <si>
    <t>2024-01-03</t>
  </si>
  <si>
    <t>ORD00213</t>
  </si>
  <si>
    <t>CUST00213</t>
  </si>
  <si>
    <t>2024-04-27</t>
  </si>
  <si>
    <t>ORD00214</t>
  </si>
  <si>
    <t>CUST00214</t>
  </si>
  <si>
    <t>2024-11-25</t>
  </si>
  <si>
    <t>ORD00215</t>
  </si>
  <si>
    <t>CUST00215</t>
  </si>
  <si>
    <t>ORD00216</t>
  </si>
  <si>
    <t>CUST00216</t>
  </si>
  <si>
    <t>ORD00217</t>
  </si>
  <si>
    <t>CUST00217</t>
  </si>
  <si>
    <t>ORD00218</t>
  </si>
  <si>
    <t>CUST00218</t>
  </si>
  <si>
    <t>ORD00219</t>
  </si>
  <si>
    <t>CUST00219</t>
  </si>
  <si>
    <t>ORD00220</t>
  </si>
  <si>
    <t>CUST00220</t>
  </si>
  <si>
    <t>ORD00221</t>
  </si>
  <si>
    <t>CUST00221</t>
  </si>
  <si>
    <t>ORD00222</t>
  </si>
  <si>
    <t>CUST00222</t>
  </si>
  <si>
    <t>ORD00223</t>
  </si>
  <si>
    <t>CUST00223</t>
  </si>
  <si>
    <t>2024-06-21</t>
  </si>
  <si>
    <t>ORD00224</t>
  </si>
  <si>
    <t>CUST00224</t>
  </si>
  <si>
    <t>2024-09-16</t>
  </si>
  <si>
    <t>ORD00225</t>
  </si>
  <si>
    <t>CUST00225</t>
  </si>
  <si>
    <t>2024-11-30</t>
  </si>
  <si>
    <t>ORD00226</t>
  </si>
  <si>
    <t>CUST00226</t>
  </si>
  <si>
    <t>2024-05-09</t>
  </si>
  <si>
    <t>ORD00227</t>
  </si>
  <si>
    <t>CUST00227</t>
  </si>
  <si>
    <t>2024-10-27</t>
  </si>
  <si>
    <t>ORD00228</t>
  </si>
  <si>
    <t>CUST00228</t>
  </si>
  <si>
    <t>2024-01-26</t>
  </si>
  <si>
    <t>ORD00229</t>
  </si>
  <si>
    <t>CUST00229</t>
  </si>
  <si>
    <t>ORD00230</t>
  </si>
  <si>
    <t>CUST00230</t>
  </si>
  <si>
    <t>2024-07-17</t>
  </si>
  <si>
    <t>ORD00231</t>
  </si>
  <si>
    <t>CUST00231</t>
  </si>
  <si>
    <t>2024-06-16</t>
  </si>
  <si>
    <t>ORD00232</t>
  </si>
  <si>
    <t>CUST00232</t>
  </si>
  <si>
    <t>ORD00233</t>
  </si>
  <si>
    <t>CUST00233</t>
  </si>
  <si>
    <t>2024-08-12</t>
  </si>
  <si>
    <t>ORD00234</t>
  </si>
  <si>
    <t>CUST00234</t>
  </si>
  <si>
    <t>ORD00235</t>
  </si>
  <si>
    <t>CUST00235</t>
  </si>
  <si>
    <t>2024-10-18</t>
  </si>
  <si>
    <t>ORD00236</t>
  </si>
  <si>
    <t>CUST00236</t>
  </si>
  <si>
    <t>ORD00237</t>
  </si>
  <si>
    <t>CUST00237</t>
  </si>
  <si>
    <t>2024-08-15</t>
  </si>
  <si>
    <t>ORD00238</t>
  </si>
  <si>
    <t>CUST00238</t>
  </si>
  <si>
    <t>ORD00239</t>
  </si>
  <si>
    <t>CUST00239</t>
  </si>
  <si>
    <t>2024-10-20</t>
  </si>
  <si>
    <t>ORD00240</t>
  </si>
  <si>
    <t>CUST00240</t>
  </si>
  <si>
    <t>ORD00241</t>
  </si>
  <si>
    <t>CUST00241</t>
  </si>
  <si>
    <t>2024-04-04</t>
  </si>
  <si>
    <t>ORD00242</t>
  </si>
  <si>
    <t>CUST00242</t>
  </si>
  <si>
    <t>ORD00243</t>
  </si>
  <si>
    <t>CUST00243</t>
  </si>
  <si>
    <t>2024-08-04</t>
  </si>
  <si>
    <t>ORD00244</t>
  </si>
  <si>
    <t>CUST00244</t>
  </si>
  <si>
    <t>ORD00245</t>
  </si>
  <si>
    <t>CUST00245</t>
  </si>
  <si>
    <t>ORD00246</t>
  </si>
  <si>
    <t>CUST00246</t>
  </si>
  <si>
    <t>2024-03-04</t>
  </si>
  <si>
    <t>ORD00247</t>
  </si>
  <si>
    <t>CUST00247</t>
  </si>
  <si>
    <t>2024-07-11</t>
  </si>
  <si>
    <t>ORD00248</t>
  </si>
  <si>
    <t>CUST00248</t>
  </si>
  <si>
    <t>2024-02-15</t>
  </si>
  <si>
    <t>ORD00249</t>
  </si>
  <si>
    <t>CUST00249</t>
  </si>
  <si>
    <t>ORD00250</t>
  </si>
  <si>
    <t>CUST00250</t>
  </si>
  <si>
    <t>2024-08-10</t>
  </si>
  <si>
    <t>ORD00251</t>
  </si>
  <si>
    <t>CUST00251</t>
  </si>
  <si>
    <t>ORD00252</t>
  </si>
  <si>
    <t>CUST00252</t>
  </si>
  <si>
    <t>2024-03-19</t>
  </si>
  <si>
    <t>ORD00253</t>
  </si>
  <si>
    <t>CUST00253</t>
  </si>
  <si>
    <t>2024-07-19</t>
  </si>
  <si>
    <t>ORD00254</t>
  </si>
  <si>
    <t>CUST00254</t>
  </si>
  <si>
    <t>2024-12-26</t>
  </si>
  <si>
    <t>ORD00255</t>
  </si>
  <si>
    <t>CUST00255</t>
  </si>
  <si>
    <t>ORD00256</t>
  </si>
  <si>
    <t>CUST00256</t>
  </si>
  <si>
    <t>ORD00257</t>
  </si>
  <si>
    <t>CUST00257</t>
  </si>
  <si>
    <t>ORD00258</t>
  </si>
  <si>
    <t>CUST00258</t>
  </si>
  <si>
    <t>ORD00259</t>
  </si>
  <si>
    <t>CUST00259</t>
  </si>
  <si>
    <t>2024-09-15</t>
  </si>
  <si>
    <t>ORD00260</t>
  </si>
  <si>
    <t>CUST00260</t>
  </si>
  <si>
    <t>ORD00261</t>
  </si>
  <si>
    <t>CUST00261</t>
  </si>
  <si>
    <t>ORD00262</t>
  </si>
  <si>
    <t>CUST00262</t>
  </si>
  <si>
    <t>ORD00263</t>
  </si>
  <si>
    <t>CUST00263</t>
  </si>
  <si>
    <t>ORD00264</t>
  </si>
  <si>
    <t>CUST00264</t>
  </si>
  <si>
    <t>2024-09-24</t>
  </si>
  <si>
    <t>ORD00265</t>
  </si>
  <si>
    <t>CUST00265</t>
  </si>
  <si>
    <t>2024-03-11</t>
  </si>
  <si>
    <t>ORD00266</t>
  </si>
  <si>
    <t>CUST00266</t>
  </si>
  <si>
    <t>2024-09-12</t>
  </si>
  <si>
    <t>ORD00267</t>
  </si>
  <si>
    <t>CUST00267</t>
  </si>
  <si>
    <t>ORD00268</t>
  </si>
  <si>
    <t>CUST00268</t>
  </si>
  <si>
    <t>ORD00269</t>
  </si>
  <si>
    <t>CUST00269</t>
  </si>
  <si>
    <t>2024-10-29</t>
  </si>
  <si>
    <t>ORD00270</t>
  </si>
  <si>
    <t>CUST00270</t>
  </si>
  <si>
    <t>2024-08-07</t>
  </si>
  <si>
    <t>ORD00271</t>
  </si>
  <si>
    <t>CUST00271</t>
  </si>
  <si>
    <t>2024-01-08</t>
  </si>
  <si>
    <t>ORD00272</t>
  </si>
  <si>
    <t>CUST00272</t>
  </si>
  <si>
    <t>ORD00273</t>
  </si>
  <si>
    <t>CUST00273</t>
  </si>
  <si>
    <t>2024-11-11</t>
  </si>
  <si>
    <t>ORD00274</t>
  </si>
  <si>
    <t>CUST00274</t>
  </si>
  <si>
    <t>2024-11-18</t>
  </si>
  <si>
    <t>ORD00275</t>
  </si>
  <si>
    <t>CUST00275</t>
  </si>
  <si>
    <t>ORD00276</t>
  </si>
  <si>
    <t>CUST00276</t>
  </si>
  <si>
    <t>2024-11-13</t>
  </si>
  <si>
    <t>ORD00277</t>
  </si>
  <si>
    <t>CUST00277</t>
  </si>
  <si>
    <t>ORD00278</t>
  </si>
  <si>
    <t>CUST00278</t>
  </si>
  <si>
    <t>ORD00279</t>
  </si>
  <si>
    <t>CUST00279</t>
  </si>
  <si>
    <t>ORD00280</t>
  </si>
  <si>
    <t>CUST00280</t>
  </si>
  <si>
    <t>2024-10-11</t>
  </si>
  <si>
    <t>ORD00281</t>
  </si>
  <si>
    <t>CUST00281</t>
  </si>
  <si>
    <t>ORD00282</t>
  </si>
  <si>
    <t>CUST00282</t>
  </si>
  <si>
    <t>2024-09-17</t>
  </si>
  <si>
    <t>ORD00283</t>
  </si>
  <si>
    <t>CUST00283</t>
  </si>
  <si>
    <t>2024-12-30</t>
  </si>
  <si>
    <t>ORD00284</t>
  </si>
  <si>
    <t>CUST00284</t>
  </si>
  <si>
    <t>ORD00285</t>
  </si>
  <si>
    <t>CUST00285</t>
  </si>
  <si>
    <t>2024-05-13</t>
  </si>
  <si>
    <t>ORD00286</t>
  </si>
  <si>
    <t>CUST00286</t>
  </si>
  <si>
    <t>ORD00287</t>
  </si>
  <si>
    <t>CUST00287</t>
  </si>
  <si>
    <t>2024-10-16</t>
  </si>
  <si>
    <t>ORD00288</t>
  </si>
  <si>
    <t>CUST00288</t>
  </si>
  <si>
    <t>ORD00289</t>
  </si>
  <si>
    <t>CUST00289</t>
  </si>
  <si>
    <t>ORD00290</t>
  </si>
  <si>
    <t>CUST00290</t>
  </si>
  <si>
    <t>2024-01-01</t>
  </si>
  <si>
    <t>ORD00291</t>
  </si>
  <si>
    <t>CUST00291</t>
  </si>
  <si>
    <t>ORD00292</t>
  </si>
  <si>
    <t>CUST00292</t>
  </si>
  <si>
    <t>2024-05-26</t>
  </si>
  <si>
    <t>ORD00293</t>
  </si>
  <si>
    <t>CUST00293</t>
  </si>
  <si>
    <t>2024-03-24</t>
  </si>
  <si>
    <t>ORD00294</t>
  </si>
  <si>
    <t>CUST00294</t>
  </si>
  <si>
    <t>2024-06-20</t>
  </si>
  <si>
    <t>ORD00295</t>
  </si>
  <si>
    <t>CUST00295</t>
  </si>
  <si>
    <t>2024-12-07</t>
  </si>
  <si>
    <t>ORD00296</t>
  </si>
  <si>
    <t>CUST00296</t>
  </si>
  <si>
    <t>2024-11-06</t>
  </si>
  <si>
    <t>ORD00297</t>
  </si>
  <si>
    <t>CUST00297</t>
  </si>
  <si>
    <t>2024-07-03</t>
  </si>
  <si>
    <t>ORD00298</t>
  </si>
  <si>
    <t>CUST00298</t>
  </si>
  <si>
    <t>ORD00299</t>
  </si>
  <si>
    <t>CUST00299</t>
  </si>
  <si>
    <t>ORD00300</t>
  </si>
  <si>
    <t>CUST00300</t>
  </si>
  <si>
    <t>2024-07-04</t>
  </si>
  <si>
    <t>ORD00301</t>
  </si>
  <si>
    <t>CUST00301</t>
  </si>
  <si>
    <t>ORD00302</t>
  </si>
  <si>
    <t>CUST00302</t>
  </si>
  <si>
    <t>2024-10-25</t>
  </si>
  <si>
    <t>ORD00303</t>
  </si>
  <si>
    <t>CUST00303</t>
  </si>
  <si>
    <t>2024-02-12</t>
  </si>
  <si>
    <t>ORD00304</t>
  </si>
  <si>
    <t>CUST00304</t>
  </si>
  <si>
    <t>2024-08-28</t>
  </si>
  <si>
    <t>ORD00305</t>
  </si>
  <si>
    <t>CUST00305</t>
  </si>
  <si>
    <t>ORD00306</t>
  </si>
  <si>
    <t>CUST00306</t>
  </si>
  <si>
    <t>2024-12-17</t>
  </si>
  <si>
    <t>ORD00307</t>
  </si>
  <si>
    <t>CUST00307</t>
  </si>
  <si>
    <t>ORD00308</t>
  </si>
  <si>
    <t>CUST00308</t>
  </si>
  <si>
    <t>2024-05-28</t>
  </si>
  <si>
    <t>ORD00309</t>
  </si>
  <si>
    <t>CUST00309</t>
  </si>
  <si>
    <t>ORD00310</t>
  </si>
  <si>
    <t>CUST00310</t>
  </si>
  <si>
    <t>2024-05-02</t>
  </si>
  <si>
    <t>ORD00311</t>
  </si>
  <si>
    <t>CUST00311</t>
  </si>
  <si>
    <t>ORD00312</t>
  </si>
  <si>
    <t>CUST00312</t>
  </si>
  <si>
    <t>2024-07-23</t>
  </si>
  <si>
    <t>ORD00313</t>
  </si>
  <si>
    <t>CUST00313</t>
  </si>
  <si>
    <t>ORD00314</t>
  </si>
  <si>
    <t>CUST00314</t>
  </si>
  <si>
    <t>2024-04-15</t>
  </si>
  <si>
    <t>ORD00315</t>
  </si>
  <si>
    <t>CUST00315</t>
  </si>
  <si>
    <t>2024-08-30</t>
  </si>
  <si>
    <t>ORD00316</t>
  </si>
  <si>
    <t>CUST00316</t>
  </si>
  <si>
    <t>ORD00317</t>
  </si>
  <si>
    <t>CUST00317</t>
  </si>
  <si>
    <t>2024-03-06</t>
  </si>
  <si>
    <t>ORD00318</t>
  </si>
  <si>
    <t>CUST00318</t>
  </si>
  <si>
    <t>ORD00319</t>
  </si>
  <si>
    <t>CUST00319</t>
  </si>
  <si>
    <t>ORD00320</t>
  </si>
  <si>
    <t>CUST00320</t>
  </si>
  <si>
    <t>ORD00321</t>
  </si>
  <si>
    <t>CUST00321</t>
  </si>
  <si>
    <t>2024-03-08</t>
  </si>
  <si>
    <t>ORD00322</t>
  </si>
  <si>
    <t>CUST00322</t>
  </si>
  <si>
    <t>2024-02-07</t>
  </si>
  <si>
    <t>ORD00323</t>
  </si>
  <si>
    <t>CUST00323</t>
  </si>
  <si>
    <t>ORD00324</t>
  </si>
  <si>
    <t>CUST00324</t>
  </si>
  <si>
    <t>ORD00325</t>
  </si>
  <si>
    <t>CUST00325</t>
  </si>
  <si>
    <t>2024-03-14</t>
  </si>
  <si>
    <t>ORD00326</t>
  </si>
  <si>
    <t>CUST00326</t>
  </si>
  <si>
    <t>ORD00327</t>
  </si>
  <si>
    <t>CUST00327</t>
  </si>
  <si>
    <t>2024-12-06</t>
  </si>
  <si>
    <t>ORD00328</t>
  </si>
  <si>
    <t>CUST00328</t>
  </si>
  <si>
    <t>ORD00329</t>
  </si>
  <si>
    <t>CUST00329</t>
  </si>
  <si>
    <t>2024-01-18</t>
  </si>
  <si>
    <t>ORD00330</t>
  </si>
  <si>
    <t>CUST00330</t>
  </si>
  <si>
    <t>ORD00331</t>
  </si>
  <si>
    <t>CUST00331</t>
  </si>
  <si>
    <t>ORD00332</t>
  </si>
  <si>
    <t>CUST00332</t>
  </si>
  <si>
    <t>ORD00333</t>
  </si>
  <si>
    <t>CUST00333</t>
  </si>
  <si>
    <t>2024-08-16</t>
  </si>
  <si>
    <t>ORD00334</t>
  </si>
  <si>
    <t>CUST00334</t>
  </si>
  <si>
    <t>2024-05-03</t>
  </si>
  <si>
    <t>ORD00335</t>
  </si>
  <si>
    <t>CUST00335</t>
  </si>
  <si>
    <t>ORD00336</t>
  </si>
  <si>
    <t>CUST00336</t>
  </si>
  <si>
    <t>2024-06-05</t>
  </si>
  <si>
    <t>ORD00337</t>
  </si>
  <si>
    <t>CUST00337</t>
  </si>
  <si>
    <t>ORD00338</t>
  </si>
  <si>
    <t>CUST00338</t>
  </si>
  <si>
    <t>ORD00339</t>
  </si>
  <si>
    <t>CUST00339</t>
  </si>
  <si>
    <t>ORD00340</t>
  </si>
  <si>
    <t>CUST00340</t>
  </si>
  <si>
    <t>ORD00341</t>
  </si>
  <si>
    <t>CUST00341</t>
  </si>
  <si>
    <t>2024-10-22</t>
  </si>
  <si>
    <t>ORD00342</t>
  </si>
  <si>
    <t>CUST00342</t>
  </si>
  <si>
    <t>ORD00343</t>
  </si>
  <si>
    <t>CUST00343</t>
  </si>
  <si>
    <t>ORD00344</t>
  </si>
  <si>
    <t>CUST00344</t>
  </si>
  <si>
    <t>2024-01-06</t>
  </si>
  <si>
    <t>ORD00345</t>
  </si>
  <si>
    <t>CUST00345</t>
  </si>
  <si>
    <t>2024-12-16</t>
  </si>
  <si>
    <t>ORD00346</t>
  </si>
  <si>
    <t>CUST00346</t>
  </si>
  <si>
    <t>2024-05-24</t>
  </si>
  <si>
    <t>ORD00347</t>
  </si>
  <si>
    <t>CUST00347</t>
  </si>
  <si>
    <t>ORD00348</t>
  </si>
  <si>
    <t>CUST00348</t>
  </si>
  <si>
    <t>ORD00349</t>
  </si>
  <si>
    <t>CUST00349</t>
  </si>
  <si>
    <t>2024-03-29</t>
  </si>
  <si>
    <t>ORD00350</t>
  </si>
  <si>
    <t>CUST00350</t>
  </si>
  <si>
    <t>ORD00351</t>
  </si>
  <si>
    <t>CUST00351</t>
  </si>
  <si>
    <t>ORD00352</t>
  </si>
  <si>
    <t>CUST00352</t>
  </si>
  <si>
    <t>2024-02-28</t>
  </si>
  <si>
    <t>ORD00353</t>
  </si>
  <si>
    <t>CUST00353</t>
  </si>
  <si>
    <t>ORD00354</t>
  </si>
  <si>
    <t>CUST00354</t>
  </si>
  <si>
    <t>2024-03-17</t>
  </si>
  <si>
    <t>ORD00355</t>
  </si>
  <si>
    <t>CUST00355</t>
  </si>
  <si>
    <t>2024-04-12</t>
  </si>
  <si>
    <t>ORD00356</t>
  </si>
  <si>
    <t>CUST00356</t>
  </si>
  <si>
    <t>2024-02-20</t>
  </si>
  <si>
    <t>ORD00357</t>
  </si>
  <si>
    <t>CUST00357</t>
  </si>
  <si>
    <t>ORD00358</t>
  </si>
  <si>
    <t>CUST00358</t>
  </si>
  <si>
    <t>ORD00359</t>
  </si>
  <si>
    <t>CUST00359</t>
  </si>
  <si>
    <t>2024-08-08</t>
  </si>
  <si>
    <t>ORD00360</t>
  </si>
  <si>
    <t>CUST00360</t>
  </si>
  <si>
    <t>2024-03-13</t>
  </si>
  <si>
    <t>ORD00361</t>
  </si>
  <si>
    <t>CUST00361</t>
  </si>
  <si>
    <t>2024-09-14</t>
  </si>
  <si>
    <t>ORD00362</t>
  </si>
  <si>
    <t>CUST00362</t>
  </si>
  <si>
    <t>ORD00363</t>
  </si>
  <si>
    <t>CUST00363</t>
  </si>
  <si>
    <t>2024-03-28</t>
  </si>
  <si>
    <t>ORD00364</t>
  </si>
  <si>
    <t>CUST00364</t>
  </si>
  <si>
    <t>ORD00365</t>
  </si>
  <si>
    <t>CUST00365</t>
  </si>
  <si>
    <t>ORD00366</t>
  </si>
  <si>
    <t>CUST00366</t>
  </si>
  <si>
    <t>ORD00367</t>
  </si>
  <si>
    <t>CUST00367</t>
  </si>
  <si>
    <t>2024-12-12</t>
  </si>
  <si>
    <t>ORD00368</t>
  </si>
  <si>
    <t>CUST00368</t>
  </si>
  <si>
    <t>ORD00369</t>
  </si>
  <si>
    <t>CUST00369</t>
  </si>
  <si>
    <t>2024-06-13</t>
  </si>
  <si>
    <t>ORD00370</t>
  </si>
  <si>
    <t>CUST00370</t>
  </si>
  <si>
    <t>ORD00371</t>
  </si>
  <si>
    <t>CUST00371</t>
  </si>
  <si>
    <t>ORD00372</t>
  </si>
  <si>
    <t>CUST00372</t>
  </si>
  <si>
    <t>ORD00373</t>
  </si>
  <si>
    <t>CUST00373</t>
  </si>
  <si>
    <t>ORD00374</t>
  </si>
  <si>
    <t>CUST00374</t>
  </si>
  <si>
    <t>ORD00375</t>
  </si>
  <si>
    <t>CUST00375</t>
  </si>
  <si>
    <t>ORD00376</t>
  </si>
  <si>
    <t>CUST00376</t>
  </si>
  <si>
    <t>2024-05-23</t>
  </si>
  <si>
    <t>ORD00377</t>
  </si>
  <si>
    <t>CUST00377</t>
  </si>
  <si>
    <t>ORD00378</t>
  </si>
  <si>
    <t>CUST00378</t>
  </si>
  <si>
    <t>2024-10-19</t>
  </si>
  <si>
    <t>ORD00379</t>
  </si>
  <si>
    <t>CUST00379</t>
  </si>
  <si>
    <t>ORD00380</t>
  </si>
  <si>
    <t>CUST00380</t>
  </si>
  <si>
    <t>ORD00381</t>
  </si>
  <si>
    <t>CUST00381</t>
  </si>
  <si>
    <t>ORD00382</t>
  </si>
  <si>
    <t>CUST00382</t>
  </si>
  <si>
    <t>2024-03-15</t>
  </si>
  <si>
    <t>ORD00383</t>
  </si>
  <si>
    <t>CUST00383</t>
  </si>
  <si>
    <t>2024-10-02</t>
  </si>
  <si>
    <t>ORD00384</t>
  </si>
  <si>
    <t>CUST00384</t>
  </si>
  <si>
    <t>ORD00385</t>
  </si>
  <si>
    <t>CUST00385</t>
  </si>
  <si>
    <t>ORD00386</t>
  </si>
  <si>
    <t>CUST00386</t>
  </si>
  <si>
    <t>2024-01-23</t>
  </si>
  <si>
    <t>ORD00387</t>
  </si>
  <si>
    <t>CUST00387</t>
  </si>
  <si>
    <t>ORD00388</t>
  </si>
  <si>
    <t>CUST00388</t>
  </si>
  <si>
    <t>2024-07-25</t>
  </si>
  <si>
    <t>ORD00389</t>
  </si>
  <si>
    <t>CUST00389</t>
  </si>
  <si>
    <t>ORD00390</t>
  </si>
  <si>
    <t>CUST00390</t>
  </si>
  <si>
    <t>2024-06-17</t>
  </si>
  <si>
    <t>ORD00391</t>
  </si>
  <si>
    <t>CUST00391</t>
  </si>
  <si>
    <t>ORD00392</t>
  </si>
  <si>
    <t>CUST00392</t>
  </si>
  <si>
    <t>ORD00393</t>
  </si>
  <si>
    <t>CUST00393</t>
  </si>
  <si>
    <t>ORD00394</t>
  </si>
  <si>
    <t>CUST00394</t>
  </si>
  <si>
    <t>ORD00395</t>
  </si>
  <si>
    <t>CUST00395</t>
  </si>
  <si>
    <t>ORD00396</t>
  </si>
  <si>
    <t>CUST00396</t>
  </si>
  <si>
    <t>ORD00397</t>
  </si>
  <si>
    <t>CUST00397</t>
  </si>
  <si>
    <t>ORD00398</t>
  </si>
  <si>
    <t>CUST00398</t>
  </si>
  <si>
    <t>ORD00399</t>
  </si>
  <si>
    <t>CUST00399</t>
  </si>
  <si>
    <t>ORD00400</t>
  </si>
  <si>
    <t>CUST00400</t>
  </si>
  <si>
    <t>ORD00401</t>
  </si>
  <si>
    <t>CUST00401</t>
  </si>
  <si>
    <t>ORD00402</t>
  </si>
  <si>
    <t>CUST00402</t>
  </si>
  <si>
    <t>ORD00403</t>
  </si>
  <si>
    <t>CUST00403</t>
  </si>
  <si>
    <t>ORD00404</t>
  </si>
  <si>
    <t>CUST00404</t>
  </si>
  <si>
    <t>2024-10-01</t>
  </si>
  <si>
    <t>ORD00405</t>
  </si>
  <si>
    <t>CUST00405</t>
  </si>
  <si>
    <t>ORD00406</t>
  </si>
  <si>
    <t>CUST00406</t>
  </si>
  <si>
    <t>ORD00407</t>
  </si>
  <si>
    <t>CUST00407</t>
  </si>
  <si>
    <t>2024-02-18</t>
  </si>
  <si>
    <t>ORD00408</t>
  </si>
  <si>
    <t>CUST00408</t>
  </si>
  <si>
    <t>ORD00409</t>
  </si>
  <si>
    <t>CUST00409</t>
  </si>
  <si>
    <t>2024-05-11</t>
  </si>
  <si>
    <t>ORD00410</t>
  </si>
  <si>
    <t>CUST00410</t>
  </si>
  <si>
    <t>ORD00411</t>
  </si>
  <si>
    <t>CUST00411</t>
  </si>
  <si>
    <t>ORD00412</t>
  </si>
  <si>
    <t>CUST00412</t>
  </si>
  <si>
    <t>ORD00413</t>
  </si>
  <si>
    <t>CUST00413</t>
  </si>
  <si>
    <t>ORD00414</t>
  </si>
  <si>
    <t>CUST00414</t>
  </si>
  <si>
    <t>ORD00415</t>
  </si>
  <si>
    <t>CUST00415</t>
  </si>
  <si>
    <t>ORD00416</t>
  </si>
  <si>
    <t>CUST00416</t>
  </si>
  <si>
    <t>ORD00417</t>
  </si>
  <si>
    <t>CUST00417</t>
  </si>
  <si>
    <t>2024-03-31</t>
  </si>
  <si>
    <t>ORD00418</t>
  </si>
  <si>
    <t>CUST00418</t>
  </si>
  <si>
    <t>2024-12-09</t>
  </si>
  <si>
    <t>ORD00419</t>
  </si>
  <si>
    <t>CUST00419</t>
  </si>
  <si>
    <t>ORD00420</t>
  </si>
  <si>
    <t>CUST00420</t>
  </si>
  <si>
    <t>ORD00421</t>
  </si>
  <si>
    <t>CUST00421</t>
  </si>
  <si>
    <t>2024-09-22</t>
  </si>
  <si>
    <t>ORD00422</t>
  </si>
  <si>
    <t>CUST00422</t>
  </si>
  <si>
    <t>ORD00423</t>
  </si>
  <si>
    <t>CUST00423</t>
  </si>
  <si>
    <t>ORD00424</t>
  </si>
  <si>
    <t>CUST00424</t>
  </si>
  <si>
    <t>ORD00425</t>
  </si>
  <si>
    <t>CUST00425</t>
  </si>
  <si>
    <t>ORD00426</t>
  </si>
  <si>
    <t>CUST00426</t>
  </si>
  <si>
    <t>2024-10-10</t>
  </si>
  <si>
    <t>ORD00427</t>
  </si>
  <si>
    <t>CUST00427</t>
  </si>
  <si>
    <t>ORD00428</t>
  </si>
  <si>
    <t>CUST00428</t>
  </si>
  <si>
    <t>ORD00429</t>
  </si>
  <si>
    <t>CUST00429</t>
  </si>
  <si>
    <t>ORD00430</t>
  </si>
  <si>
    <t>CUST00430</t>
  </si>
  <si>
    <t>ORD00431</t>
  </si>
  <si>
    <t>CUST00431</t>
  </si>
  <si>
    <t>ORD00432</t>
  </si>
  <si>
    <t>CUST00432</t>
  </si>
  <si>
    <t>ORD00433</t>
  </si>
  <si>
    <t>CUST00433</t>
  </si>
  <si>
    <t>2024-09-06</t>
  </si>
  <si>
    <t>ORD00434</t>
  </si>
  <si>
    <t>CUST00434</t>
  </si>
  <si>
    <t>ORD00435</t>
  </si>
  <si>
    <t>CUST00435</t>
  </si>
  <si>
    <t>ORD00436</t>
  </si>
  <si>
    <t>CUST00436</t>
  </si>
  <si>
    <t>2024-12-25</t>
  </si>
  <si>
    <t>ORD00437</t>
  </si>
  <si>
    <t>CUST00437</t>
  </si>
  <si>
    <t>2024-11-28</t>
  </si>
  <si>
    <t>ORD00438</t>
  </si>
  <si>
    <t>CUST00438</t>
  </si>
  <si>
    <t>ORD00439</t>
  </si>
  <si>
    <t>CUST00439</t>
  </si>
  <si>
    <t>ORD00440</t>
  </si>
  <si>
    <t>CUST00440</t>
  </si>
  <si>
    <t>ORD00441</t>
  </si>
  <si>
    <t>CUST00441</t>
  </si>
  <si>
    <t>2024-06-03</t>
  </si>
  <si>
    <t>ORD00442</t>
  </si>
  <si>
    <t>CUST00442</t>
  </si>
  <si>
    <t>ORD00443</t>
  </si>
  <si>
    <t>CUST00443</t>
  </si>
  <si>
    <t>2024-12-21</t>
  </si>
  <si>
    <t>ORD00444</t>
  </si>
  <si>
    <t>CUST00444</t>
  </si>
  <si>
    <t>ORD00445</t>
  </si>
  <si>
    <t>CUST00445</t>
  </si>
  <si>
    <t>ORD00446</t>
  </si>
  <si>
    <t>CUST00446</t>
  </si>
  <si>
    <t>ORD00447</t>
  </si>
  <si>
    <t>CUST00447</t>
  </si>
  <si>
    <t>ORD00448</t>
  </si>
  <si>
    <t>CUST00448</t>
  </si>
  <si>
    <t>ORD00449</t>
  </si>
  <si>
    <t>CUST00449</t>
  </si>
  <si>
    <t>ORD00450</t>
  </si>
  <si>
    <t>CUST00450</t>
  </si>
  <si>
    <t>ORD00451</t>
  </si>
  <si>
    <t>CUST00451</t>
  </si>
  <si>
    <t>ORD00452</t>
  </si>
  <si>
    <t>CUST00452</t>
  </si>
  <si>
    <t>ORD00453</t>
  </si>
  <si>
    <t>CUST00453</t>
  </si>
  <si>
    <t>ORD00454</t>
  </si>
  <si>
    <t>CUST00454</t>
  </si>
  <si>
    <t>2024-01-07</t>
  </si>
  <si>
    <t>ORD00455</t>
  </si>
  <si>
    <t>CUST00455</t>
  </si>
  <si>
    <t>2024-02-14</t>
  </si>
  <si>
    <t>ORD00456</t>
  </si>
  <si>
    <t>CUST00456</t>
  </si>
  <si>
    <t>ORD00457</t>
  </si>
  <si>
    <t>CUST00457</t>
  </si>
  <si>
    <t>ORD00458</t>
  </si>
  <si>
    <t>CUST00458</t>
  </si>
  <si>
    <t>ORD00459</t>
  </si>
  <si>
    <t>CUST00459</t>
  </si>
  <si>
    <t>ORD00460</t>
  </si>
  <si>
    <t>CUST00460</t>
  </si>
  <si>
    <t>2024-09-05</t>
  </si>
  <si>
    <t>ORD00461</t>
  </si>
  <si>
    <t>CUST00461</t>
  </si>
  <si>
    <t>ORD00462</t>
  </si>
  <si>
    <t>CUST00462</t>
  </si>
  <si>
    <t>2024-11-10</t>
  </si>
  <si>
    <t>ORD00463</t>
  </si>
  <si>
    <t>CUST00463</t>
  </si>
  <si>
    <t>ORD00464</t>
  </si>
  <si>
    <t>CUST00464</t>
  </si>
  <si>
    <t>ORD00465</t>
  </si>
  <si>
    <t>CUST00465</t>
  </si>
  <si>
    <t>ORD00466</t>
  </si>
  <si>
    <t>CUST00466</t>
  </si>
  <si>
    <t>2024-05-27</t>
  </si>
  <si>
    <t>ORD00467</t>
  </si>
  <si>
    <t>CUST00467</t>
  </si>
  <si>
    <t>ORD00468</t>
  </si>
  <si>
    <t>CUST00468</t>
  </si>
  <si>
    <t>ORD00469</t>
  </si>
  <si>
    <t>CUST00469</t>
  </si>
  <si>
    <t>ORD00470</t>
  </si>
  <si>
    <t>CUST00470</t>
  </si>
  <si>
    <t>ORD00471</t>
  </si>
  <si>
    <t>CUST00471</t>
  </si>
  <si>
    <t>ORD00472</t>
  </si>
  <si>
    <t>CUST00472</t>
  </si>
  <si>
    <t>ORD00473</t>
  </si>
  <si>
    <t>CUST00473</t>
  </si>
  <si>
    <t>ORD00474</t>
  </si>
  <si>
    <t>CUST00474</t>
  </si>
  <si>
    <t>ORD00475</t>
  </si>
  <si>
    <t>CUST00475</t>
  </si>
  <si>
    <t>ORD00476</t>
  </si>
  <si>
    <t>CUST00476</t>
  </si>
  <si>
    <t>ORD00477</t>
  </si>
  <si>
    <t>CUST00477</t>
  </si>
  <si>
    <t>2024-06-24</t>
  </si>
  <si>
    <t>ORD00478</t>
  </si>
  <si>
    <t>CUST00478</t>
  </si>
  <si>
    <t>ORD00479</t>
  </si>
  <si>
    <t>CUST00479</t>
  </si>
  <si>
    <t>ORD00480</t>
  </si>
  <si>
    <t>CUST00480</t>
  </si>
  <si>
    <t>2024-07-24</t>
  </si>
  <si>
    <t>ORD00481</t>
  </si>
  <si>
    <t>CUST00481</t>
  </si>
  <si>
    <t>2024-11-07</t>
  </si>
  <si>
    <t>ORD00482</t>
  </si>
  <si>
    <t>CUST00482</t>
  </si>
  <si>
    <t>ORD00483</t>
  </si>
  <si>
    <t>CUST00483</t>
  </si>
  <si>
    <t>ORD00484</t>
  </si>
  <si>
    <t>CUST00484</t>
  </si>
  <si>
    <t>ORD00485</t>
  </si>
  <si>
    <t>CUST00485</t>
  </si>
  <si>
    <t>ORD00486</t>
  </si>
  <si>
    <t>CUST00486</t>
  </si>
  <si>
    <t>2024-09-09</t>
  </si>
  <si>
    <t>ORD00487</t>
  </si>
  <si>
    <t>CUST00487</t>
  </si>
  <si>
    <t>2024-09-11</t>
  </si>
  <si>
    <t>ORD00488</t>
  </si>
  <si>
    <t>CUST00488</t>
  </si>
  <si>
    <t>ORD00489</t>
  </si>
  <si>
    <t>CUST00489</t>
  </si>
  <si>
    <t>ORD00490</t>
  </si>
  <si>
    <t>CUST00490</t>
  </si>
  <si>
    <t>ORD00491</t>
  </si>
  <si>
    <t>CUST00491</t>
  </si>
  <si>
    <t>2024-03-09</t>
  </si>
  <si>
    <t>ORD00492</t>
  </si>
  <si>
    <t>CUST00492</t>
  </si>
  <si>
    <t>ORD00493</t>
  </si>
  <si>
    <t>CUST00493</t>
  </si>
  <si>
    <t>ORD00494</t>
  </si>
  <si>
    <t>CUST00494</t>
  </si>
  <si>
    <t>ORD00495</t>
  </si>
  <si>
    <t>CUST00495</t>
  </si>
  <si>
    <t>ORD00496</t>
  </si>
  <si>
    <t>CUST00496</t>
  </si>
  <si>
    <t>ORD00497</t>
  </si>
  <si>
    <t>CUST00497</t>
  </si>
  <si>
    <t>ORD00498</t>
  </si>
  <si>
    <t>CUST00498</t>
  </si>
  <si>
    <t>ORD00499</t>
  </si>
  <si>
    <t>CUST00499</t>
  </si>
  <si>
    <t>ORD00500</t>
  </si>
  <si>
    <t>CUST00500</t>
  </si>
  <si>
    <t>price_cat</t>
  </si>
  <si>
    <t>female</t>
  </si>
  <si>
    <t>male</t>
  </si>
  <si>
    <t>month wise</t>
  </si>
  <si>
    <t>Row Labels</t>
  </si>
  <si>
    <t>Grand Total</t>
  </si>
  <si>
    <t>Agewise</t>
  </si>
  <si>
    <t>Count of Agewise</t>
  </si>
  <si>
    <t>Jan</t>
  </si>
  <si>
    <t>Feb</t>
  </si>
  <si>
    <t>Mar</t>
  </si>
  <si>
    <t>Apr</t>
  </si>
  <si>
    <t>May</t>
  </si>
  <si>
    <t>Jun</t>
  </si>
  <si>
    <t>Jul</t>
  </si>
  <si>
    <t>Aug</t>
  </si>
  <si>
    <t>Sep</t>
  </si>
  <si>
    <t>Oct</t>
  </si>
  <si>
    <t>Nov</t>
  </si>
  <si>
    <t>Dec</t>
  </si>
  <si>
    <t>Count of OrderID</t>
  </si>
  <si>
    <t>SALES ANALYSIS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</si>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</sst>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36"/>
      <color theme="1"/>
      <name val="Cambria"/>
      <family val="1"/>
      <scheme val="major"/>
    </font>
    <font>
      <b/>
      <sz val="36"/>
      <color theme="0"/>
      <name val="Cambria"/>
      <family val="1"/>
      <scheme val="major"/>
    </font>
  </fonts>
  <fills count="3">
    <fill>
      <patternFill patternType="none"/>
    </fill>
    <fill>
      <patternFill patternType="gray125"/>
    </fill>
    <fill>
      <patternFill patternType="solid">
        <fgColor rgb="FF1F3A5A"/>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xf numFmtId="0" fontId="2" fillId="2" borderId="0" xfId="0" applyFont="1" applyFill="1" applyAlignment="1">
      <alignment horizontal="center"/>
    </xf>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colors>
    <mruColors>
      <color rgb="FF1F3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[500_People_Sales_Dataset.xlsx]01 male vs female!PivotTable2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Customer Distribution by Gender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
        <c:idx val="4"/>
        <c:spPr>
          <a:solidFill>
            <a:schemeClr val="accent6"/>
          </a:solidFill>
          <a:ln w="19050">
            <a:solidFill>
              <a:schemeClr val="lt1"/>
            </a:solidFill>
          </a:ln>
          <a:effectLst/>
        </c:spPr>
      </c:pivotFmt>
    </c:pivotFmts>
    <c:plotArea>
      <c:layout/>
      <c:pieChart>
        <c:varyColors val="1"/>
        <c:ser>
          <c:idx val="0"/>
          <c:order val="0"/>
          <c:tx>
            <c:strRef>
              <c:f>'01 male vs female'!$B$3</c:f>
              <c:strCache>
                <c:ptCount val="1"/>
                <c:pt idx="0">
                  <c:v>Total</c:v>
                </c:pt>
              </c:strCache>
            </c:strRef>
          </c:tx>
          <c:dPt>
            <c:idx val="0"/>
            <c:bubble3D val="0"/>
            <c:spPr>
              <a:solidFill>
                <a:schemeClr val="accent6">
                  <a:lumMod val="60000"/>
                  <a:lumOff val="40000"/>
                </a:schemeClr>
              </a:solidFill>
              <a:ln w="19050">
                <a:solidFill>
                  <a:schemeClr val="lt1"/>
                </a:solidFill>
              </a:ln>
              <a:effectLst/>
            </c:spPr>
          </c:dPt>
          <c:dPt>
            <c:idx val="1"/>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'01 male vs female'!$A$4:$A$6</c:f>
              <c:strCache>
                <c:ptCount val="2"/>
                <c:pt idx="0">
                  <c:v>female</c:v>
                </c:pt>
                <c:pt idx="1">
                  <c:v>male</c:v>
                </c:pt>
              </c:strCache>
            </c:strRef>
          </c:cat>
          <c:val>
            <c:numRef>
              <c:f>'01 male vs female'!$B$4:$B$6</c:f>
              <c:numCache>
                <c:formatCode>General</c:formatCode>
                <c:ptCount val="2"/>
                <c:pt idx="0">
                  <c:v>252</c:v>
                </c:pt>
                <c:pt idx="1">
                  <c:v>248</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[500_People_Sales_Dataset.xlsx]03 order by city!PivotTable4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'03 order by city'!$B$3</c:f>
              <c:strCache>
                <c:ptCount val="1"/>
                <c:pt idx="0">
                  <c:v>Total</c:v>
                </c:pt>
              </c:strCache>
            </c:strRef>
          </c:tx>
          <c:spPr>
            <a:solidFill>
              <a:schemeClr val="accent1"/>
            </a:solidFill>
            <a:ln>
              <a:noFill/>
            </a:ln>
            <a:effectLst/>
          </c:spPr>
          <c:invertIfNegative val="0"/>
          <c:cat>
            <c:strRef>
              <c:f>'03 order by city'!$A$4:$A$7</c:f>
              <c:strCache>
                <c:ptCount val="3"/>
                <c:pt idx="0">
                  <c:v>App</c:v>
                </c:pt>
                <c:pt idx="1">
                  <c:v>Online</c:v>
                </c:pt>
                <c:pt idx="2">
                  <c:v>Store</c:v>
                </c:pt>
              </c:strCache>
            </c:strRef>
          </c:cat>
          <c:val>
            <c:numRef>
              <c:f>'03 order by city'!$B$4:$B$7</c:f>
              <c:numCache>
                <c:formatCode>General</c:formatCode>
                <c:ptCount val="3"/>
                <c:pt idx="0">
                  <c:v>171</c:v>
                </c:pt>
                <c:pt idx="1">
                  <c:v>170</c:v>
                </c:pt>
                <c:pt idx="2">
                  <c:v>159</c:v>
                </c:pt>
              </c:numCache>
            </c:numRef>
          </c:val>
        </c:ser>
        <c:dLbls>
          <c:showLegendKey val="0"/>
          <c:showVal val="0"/>
          <c:showCatName val="0"/>
          <c:showSerName val="0"/>
          <c:showPercent val="0"/>
          <c:showBubbleSize val="0"/>
        </c:dLbls>
        <c:gapWidth val="219"/>
        <c:overlap val="-27"/>
        <c:axId val="401964656"/>
        <c:axId val="401965440"/>
      </c:barChart>
      <c:catAx>
        <c:axId val="4019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965440"/>
        <c:crosses val="autoZero"/>
        <c:auto val="1"/>
        <c:lblAlgn val="ctr"/>
        <c:lblOffset val="100"/>
        <c:noMultiLvlLbl val="0"/>
      </c:catAx>
      <c:valAx>
        <c:axId val="401965440"/>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964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[500_People_Sales_Dataset.xlsx]01 male vs female!PivotTable2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Customer Distribution by Gender </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lumMod val="60000"/>
              <a:lumOff val="40000"/>
            </a:schemeClr>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9"/>
        <c:spPr>
          <a:solidFill>
            <a:schemeClr val="accent6">
              <a:lumMod val="60000"/>
              <a:lumOff val="40000"/>
            </a:schemeClr>
          </a:solidFill>
          <a:ln w="19050">
            <a:solidFill>
              <a:schemeClr val="lt1"/>
            </a:solidFill>
          </a:ln>
          <a:effectLst/>
        </c:spPr>
      </c:pivotFmt>
      <c:pivotFmt>
        <c:idx val="10"/>
        <c:spPr>
          <a:solidFill>
            <a:schemeClr val="accent6"/>
          </a:solidFill>
          <a:ln w="19050">
            <a:solidFill>
              <a:schemeClr val="lt1"/>
            </a:solidFill>
          </a:ln>
          <a:effectLst/>
        </c:spPr>
      </c:pivotFmt>
    </c:pivotFmts>
    <c:plotArea>
      <c:layout/>
      <c:pieChart>
        <c:varyColors val="1"/>
        <c:ser>
          <c:idx val="0"/>
          <c:order val="0"/>
          <c:tx>
            <c:strRef>
              <c:f>'01 male vs female'!$B$3</c:f>
              <c:strCache>
                <c:ptCount val="1"/>
                <c:pt idx="0">
                  <c:v>Total</c:v>
                </c:pt>
              </c:strCache>
            </c:strRef>
          </c:tx>
          <c:dPt>
            <c:idx val="0"/>
            <c:bubble3D val="0"/>
            <c:spPr>
              <a:solidFill>
                <a:schemeClr val="accent6">
                  <a:lumMod val="60000"/>
                  <a:lumOff val="40000"/>
                </a:schemeClr>
              </a:solidFill>
              <a:ln w="19050">
                <a:solidFill>
                  <a:schemeClr val="lt1"/>
                </a:solidFill>
              </a:ln>
              <a:effectLst/>
            </c:spPr>
          </c:dPt>
          <c:dPt>
            <c:idx val="1"/>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'01 male vs female'!$A$4:$A$6</c:f>
              <c:strCache>
                <c:ptCount val="2"/>
                <c:pt idx="0">
                  <c:v>female</c:v>
                </c:pt>
                <c:pt idx="1">
                  <c:v>male</c:v>
                </c:pt>
              </c:strCache>
            </c:strRef>
          </c:cat>
          <c:val>
            <c:numRef>
              <c:f>'01 male vs female'!$B$4:$B$6</c:f>
              <c:numCache>
                <c:formatCode>General</c:formatCode>
                <c:ptCount val="2"/>
                <c:pt idx="0">
                  <c:v>252</c:v>
                </c:pt>
                <c:pt idx="1">
                  <c:v>248</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[500_People_Sales_Dataset.xlsx]02 month-wise Orders!PivotTable1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Month-wise</a:t>
            </a:r>
            <a:r>
              <a:rPr lang="en-US" baseline="0"/>
              <a:t> Orders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'02 month-wise Orders'!$B$3</c:f>
              <c:strCache>
                <c:ptCount val="1"/>
                <c:pt idx="0">
                  <c:v>Total</c:v>
                </c:pt>
              </c:strCache>
            </c:strRef>
          </c:tx>
          <c:spPr>
            <a:solidFill>
              <a:schemeClr val="accent1"/>
            </a:solidFill>
            <a:ln>
              <a:noFill/>
            </a:ln>
            <a:effectLst/>
          </c:spPr>
          <c:invertIfNegative val="0"/>
          <c:cat>
            <c:strRef>
              <c:f>'02 month-wise Orders'!$A$4:$A$16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'02 month-wise Orders'!$B$4:$B$16</c:f>
              <c:numCache>
                <c:formatCode>General</c:formatCode>
                <c:ptCount val="12"/>
                <c:pt idx="0">
                  <c:v>38</c:v>
                </c:pt>
                <c:pt idx="1">
                  <c:v>43</c:v>
                </c:pt>
                <c:pt idx="2">
                  <c:v>41</c:v>
                </c:pt>
                <c:pt idx="3">
                  <c:v>47</c:v>
                </c:pt>
                <c:pt idx="4">
                  <c:v>45</c:v>
                </c:pt>
                <c:pt idx="5">
                  <c:v>30</c:v>
                </c:pt>
                <c:pt idx="6">
                  <c:v>42</c:v>
                </c:pt>
                <c:pt idx="7">
                  <c:v>53</c:v>
                </c:pt>
                <c:pt idx="8">
                  <c:v>34</c:v>
                </c:pt>
                <c:pt idx="9">
                  <c:v>42</c:v>
                </c:pt>
                <c:pt idx="10">
                  <c:v>49</c:v>
                </c:pt>
                <c:pt idx="11">
                  <c:v>36</c:v>
                </c:pt>
              </c:numCache>
            </c:numRef>
          </c:val>
        </c:ser>
        <c:dLbls>
          <c:showLegendKey val="0"/>
          <c:showVal val="0"/>
          <c:showCatName val="0"/>
          <c:showSerName val="0"/>
          <c:showPercent val="0"/>
          <c:showBubbleSize val="0"/>
        </c:dLbls>
        <c:gapWidth val="219"/>
        <c:overlap val="-27"/>
        <c:axId val="401959168"/>
        <c:axId val="401964264"/>
      </c:barChart>
      <c:catAx>
        <c:axId val="40195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964264"/>
        <c:crosses val="autoZero"/>
        <c:auto val="1"/>
        <c:lblAlgn val="ctr"/>
        <c:lblOffset val="100"/>
        <c:noMultiLvlLbl val="0"/>
      </c:catAx>
      <c:valAx>
        <c:axId val="401964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959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[500_People_Sales_Dataset.xlsx]03 order by city!PivotTable4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Channel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'03 order by city'!$B$3</c:f>
              <c:strCache>
                <c:ptCount val="1"/>
                <c:pt idx="0">
                  <c:v>Total</c:v>
                </c:pt>
              </c:strCache>
            </c:strRef>
          </c:tx>
          <c:spPr>
            <a:solidFill>
              <a:schemeClr val="accent1"/>
            </a:solidFill>
            <a:ln>
              <a:noFill/>
            </a:ln>
            <a:effectLst/>
          </c:spPr>
          <c:invertIfNegative val="0"/>
          <c:cat>
            <c:strRef>
              <c:f>'03 order by city'!$A$4:$A$7</c:f>
              <c:strCache>
                <c:ptCount val="3"/>
                <c:pt idx="0">
                  <c:v>App</c:v>
                </c:pt>
                <c:pt idx="1">
                  <c:v>Online</c:v>
                </c:pt>
                <c:pt idx="2">
                  <c:v>Store</c:v>
                </c:pt>
              </c:strCache>
            </c:strRef>
          </c:cat>
          <c:val>
            <c:numRef>
              <c:f>'03 order by city'!$B$4:$B$7</c:f>
              <c:numCache>
                <c:formatCode>General</c:formatCode>
                <c:ptCount val="3"/>
                <c:pt idx="0">
                  <c:v>171</c:v>
                </c:pt>
                <c:pt idx="1">
                  <c:v>170</c:v>
                </c:pt>
                <c:pt idx="2">
                  <c:v>159</c:v>
                </c:pt>
              </c:numCache>
            </c:numRef>
          </c:val>
        </c:ser>
        <c:dLbls>
          <c:showLegendKey val="0"/>
          <c:showVal val="0"/>
          <c:showCatName val="0"/>
          <c:showSerName val="0"/>
          <c:showPercent val="0"/>
          <c:showBubbleSize val="0"/>
        </c:dLbls>
        <c:gapWidth val="219"/>
        <c:overlap val="-27"/>
        <c:axId val="339507224"/>
        <c:axId val="339501344"/>
      </c:barChart>
      <c:catAx>
        <c:axId val="339507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501344"/>
        <c:crosses val="autoZero"/>
        <c:auto val="1"/>
        <c:lblAlgn val="ctr"/>
        <c:lblOffset val="100"/>
        <c:noMultiLvlLbl val="0"/>
      </c:catAx>
      <c:valAx>
        <c:axId val="339501344"/>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507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[500_People_Sales_Dataset.xlsx]04 orders by city!PivotTable2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City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'04 orders by city'!$B$3</c:f>
              <c:strCache>
                <c:ptCount val="1"/>
                <c:pt idx="0">
                  <c:v>Total</c:v>
                </c:pt>
              </c:strCache>
            </c:strRef>
          </c:tx>
          <c:spPr>
            <a:solidFill>
              <a:schemeClr val="accent1"/>
            </a:solidFill>
            <a:ln>
              <a:noFill/>
            </a:ln>
            <a:effectLst/>
          </c:spPr>
          <c:invertIfNegative val="0"/>
          <c:cat>
            <c:strRef>
              <c:f>'04 orders by city'!$A$4:$A$12</c:f>
              <c:strCache>
                <c:ptCount val="8"/>
                <c:pt idx="0">
                  <c:v>Mumbai</c:v>
                </c:pt>
                <c:pt idx="1">
                  <c:v>Bangalore</c:v>
                </c:pt>
                <c:pt idx="2">
                  <c:v>Ahmedabad</c:v>
                </c:pt>
                <c:pt idx="3">
                  <c:v>Nagpur</c:v>
                </c:pt>
                <c:pt idx="4">
                  <c:v>Pune</c:v>
                </c:pt>
                <c:pt idx="5">
                  <c:v>Hyderabad</c:v>
                </c:pt>
                <c:pt idx="6">
                  <c:v>Chennai</c:v>
                </c:pt>
                <c:pt idx="7">
                  <c:v>Delhi</c:v>
                </c:pt>
              </c:strCache>
            </c:strRef>
          </c:cat>
          <c:val>
            <c:numRef>
              <c:f>'04 orders by city'!$B$4:$B$12</c:f>
              <c:numCache>
                <c:formatCode>General</c:formatCode>
                <c:ptCount val="8"/>
                <c:pt idx="0">
                  <c:v>69</c:v>
                </c:pt>
                <c:pt idx="1">
                  <c:v>68</c:v>
                </c:pt>
                <c:pt idx="2">
                  <c:v>67</c:v>
                </c:pt>
                <c:pt idx="3">
                  <c:v>66</c:v>
                </c:pt>
                <c:pt idx="4">
                  <c:v>59</c:v>
                </c:pt>
                <c:pt idx="5">
                  <c:v>58</c:v>
                </c:pt>
                <c:pt idx="6">
                  <c:v>57</c:v>
                </c:pt>
                <c:pt idx="7">
                  <c:v>56</c:v>
                </c:pt>
              </c:numCache>
            </c:numRef>
          </c:val>
        </c:ser>
        <c:dLbls>
          <c:showLegendKey val="0"/>
          <c:showVal val="0"/>
          <c:showCatName val="0"/>
          <c:showSerName val="0"/>
          <c:showPercent val="0"/>
          <c:showBubbleSize val="0"/>
        </c:dLbls>
        <c:gapWidth val="182"/>
        <c:axId val="401387864"/>
        <c:axId val="401391392"/>
      </c:barChart>
      <c:catAx>
        <c:axId val="401387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391392"/>
        <c:crosses val="autoZero"/>
        <c:auto val="1"/>
        <c:lblAlgn val="ctr"/>
        <c:lblOffset val="100"/>
        <c:noMultiLvlLbl val="0"/>
      </c:catAx>
      <c:valAx>
        <c:axId val="401391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387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[500_People_Sales_Dataset.xlsx]02 month-wise Orders!PivotTable1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Month-wise</a:t>
            </a:r>
            <a:r>
              <a:rPr lang="en-US" baseline="0"/>
              <a:t>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'02 month-wise Orders'!$B$3</c:f>
              <c:strCache>
                <c:ptCount val="1"/>
                <c:pt idx="0">
                  <c:v>Total</c:v>
                </c:pt>
              </c:strCache>
            </c:strRef>
          </c:tx>
          <c:spPr>
            <a:solidFill>
              <a:schemeClr val="accent1"/>
            </a:solidFill>
            <a:ln>
              <a:noFill/>
            </a:ln>
            <a:effectLst/>
          </c:spPr>
          <c:invertIfNegative val="0"/>
          <c:cat>
            <c:strRef>
              <c:f>'02 month-wise Orders'!$A$4:$A$16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'02 month-wise Orders'!$B$4:$B$16</c:f>
              <c:numCache>
                <c:formatCode>General</c:formatCode>
                <c:ptCount val="12"/>
                <c:pt idx="0">
                  <c:v>38</c:v>
                </c:pt>
                <c:pt idx="1">
                  <c:v>43</c:v>
                </c:pt>
                <c:pt idx="2">
                  <c:v>41</c:v>
                </c:pt>
                <c:pt idx="3">
                  <c:v>47</c:v>
                </c:pt>
                <c:pt idx="4">
                  <c:v>45</c:v>
                </c:pt>
                <c:pt idx="5">
                  <c:v>30</c:v>
                </c:pt>
                <c:pt idx="6">
                  <c:v>42</c:v>
                </c:pt>
                <c:pt idx="7">
                  <c:v>53</c:v>
                </c:pt>
                <c:pt idx="8">
                  <c:v>34</c:v>
                </c:pt>
                <c:pt idx="9">
                  <c:v>42</c:v>
                </c:pt>
                <c:pt idx="10">
                  <c:v>49</c:v>
                </c:pt>
                <c:pt idx="11">
                  <c:v>36</c:v>
                </c:pt>
              </c:numCache>
            </c:numRef>
          </c:val>
        </c:ser>
        <c:dLbls>
          <c:showLegendKey val="0"/>
          <c:showVal val="0"/>
          <c:showCatName val="0"/>
          <c:showSerName val="0"/>
          <c:showPercent val="0"/>
          <c:showBubbleSize val="0"/>
        </c:dLbls>
        <c:gapWidth val="219"/>
        <c:overlap val="-27"/>
        <c:axId val="401388648"/>
        <c:axId val="401389040"/>
      </c:barChart>
      <c:catAx>
        <c:axId val="401388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389040"/>
        <c:crosses val="autoZero"/>
        <c:auto val="1"/>
        <c:lblAlgn val="ctr"/>
        <c:lblOffset val="100"/>
        <c:noMultiLvlLbl val="0"/>
      </c:catAx>
      <c:valAx>
        <c:axId val="40138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388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[500_People_Sales_Dataset.xlsx]04 orders by city!PivotTable2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'04 orders by city'!$B$3</c:f>
              <c:strCache>
                <c:ptCount val="1"/>
                <c:pt idx="0">
                  <c:v>Total</c:v>
                </c:pt>
              </c:strCache>
            </c:strRef>
          </c:tx>
          <c:spPr>
            <a:solidFill>
              <a:schemeClr val="accent1"/>
            </a:solidFill>
            <a:ln>
              <a:noFill/>
            </a:ln>
            <a:effectLst/>
          </c:spPr>
          <c:invertIfNegative val="0"/>
          <c:cat>
            <c:strRef>
              <c:f>'04 orders by city'!$A$4:$A$12</c:f>
              <c:strCache>
                <c:ptCount val="8"/>
                <c:pt idx="0">
                  <c:v>Mumbai</c:v>
                </c:pt>
                <c:pt idx="1">
                  <c:v>Bangalore</c:v>
                </c:pt>
                <c:pt idx="2">
                  <c:v>Ahmedabad</c:v>
                </c:pt>
                <c:pt idx="3">
                  <c:v>Nagpur</c:v>
                </c:pt>
                <c:pt idx="4">
                  <c:v>Pune</c:v>
                </c:pt>
                <c:pt idx="5">
                  <c:v>Hyderabad</c:v>
                </c:pt>
                <c:pt idx="6">
                  <c:v>Chennai</c:v>
                </c:pt>
                <c:pt idx="7">
                  <c:v>Delhi</c:v>
                </c:pt>
              </c:strCache>
            </c:strRef>
          </c:cat>
          <c:val>
            <c:numRef>
              <c:f>'04 orders by city'!$B$4:$B$12</c:f>
              <c:numCache>
                <c:formatCode>General</c:formatCode>
                <c:ptCount val="8"/>
                <c:pt idx="0">
                  <c:v>69</c:v>
                </c:pt>
                <c:pt idx="1">
                  <c:v>68</c:v>
                </c:pt>
                <c:pt idx="2">
                  <c:v>67</c:v>
                </c:pt>
                <c:pt idx="3">
                  <c:v>66</c:v>
                </c:pt>
                <c:pt idx="4">
                  <c:v>59</c:v>
                </c:pt>
                <c:pt idx="5">
                  <c:v>58</c:v>
                </c:pt>
                <c:pt idx="6">
                  <c:v>57</c:v>
                </c:pt>
                <c:pt idx="7">
                  <c:v>56</c:v>
                </c:pt>
              </c:numCache>
            </c:numRef>
          </c:val>
        </c:ser>
        <c:dLbls>
          <c:showLegendKey val="0"/>
          <c:showVal val="0"/>
          <c:showCatName val="0"/>
          <c:showSerName val="0"/>
          <c:showPercent val="0"/>
          <c:showBubbleSize val="0"/>
        </c:dLbls>
        <c:gapWidth val="182"/>
        <c:axId val="401389824"/>
        <c:axId val="401386688"/>
      </c:barChart>
      <c:catAx>
        <c:axId val="401389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386688"/>
        <c:crosses val="autoZero"/>
        <c:auto val="1"/>
        <c:lblAlgn val="ctr"/>
        <c:lblOffset val="100"/>
        <c:noMultiLvlLbl val="0"/>
      </c:catAx>
      <c:valAx>
        <c:axId val="401386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389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454024</xdr:colOff>
      <xdr:row>0</xdr:row>
      <xdr:rowOff>142874</xdr:rowOff>
    </xdr:from>
    <xdr:to>
      <xdr:col>12</xdr:col>
      <xdr:colOff>317499</xdr:colOff>
      <xdr:row>17</xdr:row>
      <xdr:rowOff>152399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771525</xdr:colOff>
      <xdr:row>5</xdr:row>
      <xdr:rowOff>66675</xdr:rowOff>
    </xdr:from>
    <xdr:to>
      <xdr:col>9</xdr:col>
      <xdr:colOff>568325</xdr:colOff>
      <xdr:row>20</xdr:row>
      <xdr:rowOff>47625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1</xdr:rowOff>
    </xdr:from>
    <xdr:to>
      <xdr:col>8</xdr:col>
      <xdr:colOff>482600</xdr:colOff>
      <xdr:row>16</xdr:row>
      <xdr:rowOff>171451</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482600</xdr:colOff>
      <xdr:row>2</xdr:row>
      <xdr:rowOff>12700</xdr:rowOff>
    </xdr:from>
    <xdr:to>
      <xdr:col>16</xdr:col>
      <xdr:colOff>177800</xdr:colOff>
      <xdr:row>16</xdr:row>
      <xdr:rowOff>177800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127000</xdr:rowOff>
    </xdr:from>
    <xdr:to>
      <xdr:col>8</xdr:col>
      <xdr:colOff>476250</xdr:colOff>
      <xdr:row>31</xdr:row>
      <xdr:rowOff>107950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482600</xdr:colOff>
      <xdr:row>16</xdr:row>
      <xdr:rowOff>165100</xdr:rowOff>
    </xdr:from>
    <xdr:to>
      <xdr:col>16</xdr:col>
      <xdr:colOff>177800</xdr:colOff>
      <xdr:row>31</xdr:row>
      <xdr:rowOff>146050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196850</xdr:colOff>
      <xdr:row>2</xdr:row>
      <xdr:rowOff>6350</xdr:rowOff>
    </xdr:from>
    <xdr:to>
      <xdr:col>19</xdr:col>
      <xdr:colOff>196850</xdr:colOff>
      <xdr:row>15</xdr:row>
      <xdr:rowOff>136525</xdr:rowOff>
    </xdr:to>
    <mc:AlternateContent xmlns:mc="http://schemas.openxmlformats.org/markup-compatibility/2006" xmlns:a14="http://schemas.microsoft.com/office/drawing/2010/main">
      <mc:Choice Requires="a14">
        <xdr:graphicFrame macro="">
          <xdr:nvGraphicFramePr>
            <xdr:cNvPr id="4" name="month wise"/>
            <xdr:cNvGraphicFramePr/>
          </xdr:nvGraphicFramePr>
          <xdr:xfrm>
            <a:off x="0" y="0"/>
            <a:ext cx="0" cy="0"/>
          </xdr:xfrm>
          <a:graphic>
            <a:graphicData uri="http://schemas.microsoft.com/office/drawing/2010/slicer">
              <sle:slicer xmlns:sle="http://schemas.microsoft.com/office/drawing/2010/slicer" name="month wise"/>
            </a:graphicData>
          </a:graphic>
        </xdr:graphicFrame>
      </mc:Choice>
      <mc:Fallback xmlns="">
        <xdr:sp macro="" textlink="">
          <xdr:nvSpPr>
            <xdr:cNvPr id="0" name=""/>
            <xdr:cNvSpPr>
              <a:spLocks noTextEdit="1"/>
            </xdr:cNvSpPr>
          </xdr:nvSpPr>
          <xdr:spPr>
            <a:xfrm>
              <a:off x="9950450" y="971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203200</xdr:colOff>
      <xdr:row>15</xdr:row>
      <xdr:rowOff>152400</xdr:rowOff>
    </xdr:from>
    <xdr:to>
      <xdr:col>19</xdr:col>
      <xdr:colOff>203200</xdr:colOff>
      <xdr:row>29</xdr:row>
      <xdr:rowOff>98425</xdr:rowOff>
    </xdr:to>
    <mc:AlternateContent xmlns:mc="http://schemas.openxmlformats.org/markup-compatibility/2006" xmlns:a14="http://schemas.microsoft.com/office/drawing/2010/main">
      <mc:Choice Requires="a14">
        <xdr:graphicFrame macro="">
          <xdr:nvGraphicFramePr>
            <xdr:cNvPr id="7" name="Ship-City"/>
            <xdr:cNvGraphicFramePr/>
          </xdr:nvGraphicFramePr>
          <xdr:xfrm>
            <a:off x="0" y="0"/>
            <a:ext cx="0" cy="0"/>
          </xdr:xfrm>
          <a:graphic>
            <a:graphicData uri="http://schemas.microsoft.com/office/drawing/2010/slicer">
              <sle:slicer xmlns:sle="http://schemas.microsoft.com/office/drawing/2010/slicer" name="Ship-City"/>
            </a:graphicData>
          </a:graphic>
        </xdr:graphicFrame>
      </mc:Choice>
      <mc:Fallback xmlns="">
        <xdr:sp macro="" textlink="">
          <xdr:nvSpPr>
            <xdr:cNvPr id="0" name=""/>
            <xdr:cNvSpPr>
              <a:spLocks noTextEdit="1"/>
            </xdr:cNvSpPr>
          </xdr:nvSpPr>
          <xdr:spPr>
            <a:xfrm>
              <a:off x="9956800" y="3511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161925</xdr:colOff>
      <xdr:row>4</xdr:row>
      <xdr:rowOff>66675</xdr:rowOff>
    </xdr:from>
    <xdr:to>
      <xdr:col>10</xdr:col>
      <xdr:colOff>466725</xdr:colOff>
      <xdr:row>19</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161925</xdr:colOff>
      <xdr:row>4</xdr:row>
      <xdr:rowOff>66675</xdr:rowOff>
    </xdr:from>
    <xdr:to>
      <xdr:col>10</xdr:col>
      <xdr:colOff>466725</xdr:colOff>
      <xdr:row>19</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6112.483481249998" createdVersion="5" refreshedVersion="5" minRefreshableVersion="3" recordCount="500">
  <cacheSource type="worksheet">
    <worksheetSource ref="A1:Q501" sheet="Sales_Data"/>
  </cacheSource>
  <cacheFields count="17">
    <cacheField name="Index" numFmtId="0">
      <sharedItems containsSemiMixedTypes="0" containsString="0" containsNumber="1" containsInteger="1" minValue="1" maxValue="500"/>
    </cacheField>
    <cacheField name="OrderID" numFmtId="0">
      <sharedItems/>
    </cacheField>
    <cacheField name="CustomerID" numFmtId="0">
      <sharedItems/>
    </cacheField>
    <cacheField name="Gender" numFmtId="0">
      <sharedItems count="2">
        <s v="female"/>
        <s v="male"/>
      </sharedItems>
    </cacheField>
    <cacheField name="Age" numFmtId="0">
      <sharedItems containsSemiMixedTypes="0" containsString="0" containsNumber="1" containsInteger="1" minValue="18" maxValue="60"/>
    </cacheField>
    <cacheField name="Agewise" numFmtId="0">
      <sharedItems count="3">
        <s v="teen"/>
        <s v="adult"/>
        <s v="senior"/>
      </sharedItems>
    </cacheField>
    <cacheField name="Date" numFmtId="0">
      <sharedItems/>
    </cacheField>
    <cacheField name="month wise" numFmtId="0">
      <sharedItems count="12">
        <s v="Apr"/>
        <s v="Feb"/>
        <s v="Aug"/>
        <s v="Sep"/>
        <s v="Dec"/>
        <s v="Oct"/>
        <s v="Jul"/>
        <s v="Nov"/>
        <s v="Jun"/>
        <s v="May"/>
        <s v="Jan"/>
        <s v="Mar"/>
      </sharedItems>
    </cacheField>
    <cacheField name="Status" numFmtId="0">
      <sharedItems count="3">
        <s v="Cancelled"/>
        <s v="Returned"/>
        <s v="Delivered"/>
      </sharedItems>
    </cacheField>
    <cacheField name="Channel" numFmtId="0">
      <sharedItems/>
    </cacheField>
    <cacheField name="Category" numFmtId="0">
      <sharedItems/>
    </cacheField>
    <cacheField name="Size" numFmtId="0">
      <sharedItems/>
    </cacheField>
    <cacheField name="Qty" numFmtId="0">
      <sharedItems containsSemiMixedTypes="0" containsString="0" containsNumber="1" containsInteger="1" minValue="1" maxValue="5"/>
    </cacheField>
    <cacheField name="price_cat" numFmtId="0">
      <sharedItems/>
    </cacheField>
    <cacheField name="Amount" numFmtId="0">
      <sharedItems containsSemiMixedTypes="0" containsString="0" containsNumber="1" containsInteger="1" minValue="511" maxValue="14480"/>
    </cacheField>
    <cacheField name="Ship-City" numFmtId="0">
      <sharedItems count="8">
        <s v="Nagpur"/>
        <s v="Mumbai"/>
        <s v="Delhi"/>
        <s v="Pune"/>
        <s v="Ahmedabad"/>
        <s v="Bangalore"/>
        <s v="Chennai"/>
        <s v="Hyderabad"/>
      </sharedItems>
    </cacheField>
    <cacheField name="Ship-State" numFmtId="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112.489939120373" createdVersion="5" refreshedVersion="5" minRefreshableVersion="3" recordCount="500">
  <cacheSource type="worksheet">
    <worksheetSource ref="B1:Q501" sheet="Sales_Data"/>
  </cacheSource>
  <cacheFields count="16">
    <cacheField name="OrderID" numFmtId="0">
      <sharedItems/>
    </cacheField>
    <cacheField name="CustomerID" numFmtId="0">
      <sharedItems/>
    </cacheField>
    <cacheField name="Gender" numFmtId="0">
      <sharedItems/>
    </cacheField>
    <cacheField name="Age" numFmtId="0">
      <sharedItems containsSemiMixedTypes="0" containsString="0" containsNumber="1" containsInteger="1" minValue="18" maxValue="60"/>
    </cacheField>
    <cacheField name="Agewise" numFmtId="0">
      <sharedItems/>
    </cacheField>
    <cacheField name="Date" numFmtId="0">
      <sharedItems/>
    </cacheField>
    <cacheField name="month wise" numFmtId="0">
      <sharedItems/>
    </cacheField>
    <cacheField name="Status" numFmtId="0">
      <sharedItems/>
    </cacheField>
    <cacheField name="Channel" numFmtId="0">
      <sharedItems count="3">
        <s v="App"/>
        <s v="Store"/>
        <s v="Online"/>
      </sharedItems>
    </cacheField>
    <cacheField name="Category" numFmtId="0">
      <sharedItems/>
    </cacheField>
    <cacheField name="Size" numFmtId="0">
      <sharedItems/>
    </cacheField>
    <cacheField name="Qty" numFmtId="0">
      <sharedItems containsSemiMixedTypes="0" containsString="0" containsNumber="1" containsInteger="1" minValue="1" maxValue="5"/>
    </cacheField>
    <cacheField name="price_cat" numFmtId="0">
      <sharedItems/>
    </cacheField>
    <cacheField name="Amount" numFmtId="0">
      <sharedItems containsSemiMixedTypes="0" containsString="0" containsNumber="1" containsInteger="1" minValue="511" maxValue="14480"/>
    </cacheField>
    <cacheField name="Ship-City" numFmtId="0">
      <sharedItems count="8">
        <s v="Nagpur"/>
        <s v="Mumbai"/>
        <s v="Delhi"/>
        <s v="Pune"/>
        <s v="Ahmedabad"/>
        <s v="Bangalore"/>
        <s v="Chennai"/>
        <s v="Hyderabad"/>
      </sharedItems>
    </cacheField>
    <cacheField name="Ship-State" numFmtId="0">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500">
  <r>
    <n v="1"/>
    <s v="ORD00001"/>
    <s v="CUST00001"/>
    <x v="0"/>
    <n v="18"/>
    <x v="0"/>
    <s v="2024-04-11"/>
    <x v="0"/>
    <x v="0"/>
    <s v="App"/>
    <s v="Electronics"/>
    <s v="XL"/>
    <n v="3"/>
    <s v="low"/>
    <n v="1938"/>
    <x v="0"/>
    <s v="Maharashtra"/>
  </r>
  <r>
    <n v="2"/>
    <s v="ORD00002"/>
    <s v="CUST00002"/>
    <x v="1"/>
    <n v="35"/>
    <x v="1"/>
    <s v="2024-04-05"/>
    <x v="0"/>
    <x v="1"/>
    <s v="App"/>
    <s v="Electronics"/>
    <s v="XL"/>
    <n v="3"/>
    <s v="high"/>
    <n v="5121"/>
    <x v="1"/>
    <s v="Maharashtra"/>
  </r>
  <r>
    <n v="3"/>
    <s v="ORD00003"/>
    <s v="CUST00003"/>
    <x v="0"/>
    <n v="30"/>
    <x v="1"/>
    <s v="2024-02-22"/>
    <x v="1"/>
    <x v="2"/>
    <s v="App"/>
    <s v="Electronics"/>
    <s v="S"/>
    <n v="5"/>
    <s v="high"/>
    <n v="12020"/>
    <x v="2"/>
    <s v="Delhi"/>
  </r>
  <r>
    <n v="4"/>
    <s v="ORD00004"/>
    <s v="CUST00004"/>
    <x v="1"/>
    <n v="42"/>
    <x v="1"/>
    <s v="2024-02-27"/>
    <x v="1"/>
    <x v="2"/>
    <s v="Store"/>
    <s v="Clothing"/>
    <s v="M"/>
    <n v="2"/>
    <s v="low"/>
    <n v="1788"/>
    <x v="3"/>
    <s v="Maharashtra"/>
  </r>
  <r>
    <n v="5"/>
    <s v="ORD00005"/>
    <s v="CUST00005"/>
    <x v="0"/>
    <n v="45"/>
    <x v="1"/>
    <s v="2024-04-20"/>
    <x v="0"/>
    <x v="2"/>
    <s v="Store"/>
    <s v="Electronics"/>
    <s v="M"/>
    <n v="2"/>
    <s v="high"/>
    <n v="5182"/>
    <x v="4"/>
    <s v="Gujarat"/>
  </r>
  <r>
    <n v="6"/>
    <s v="ORD00006"/>
    <s v="CUST00006"/>
    <x v="0"/>
    <n v="59"/>
    <x v="2"/>
    <s v="2024-04-06"/>
    <x v="0"/>
    <x v="0"/>
    <s v="Store"/>
    <s v="Shoes"/>
    <s v="S"/>
    <n v="4"/>
    <s v="high"/>
    <n v="11336"/>
    <x v="1"/>
    <s v="Maharashtra"/>
  </r>
  <r>
    <n v="7"/>
    <s v="ORD00007"/>
    <s v="CUST00007"/>
    <x v="0"/>
    <n v="58"/>
    <x v="2"/>
    <s v="2024-04-23"/>
    <x v="0"/>
    <x v="0"/>
    <s v="App"/>
    <s v="Electronics"/>
    <s v="M"/>
    <n v="3"/>
    <s v="low"/>
    <n v="2838"/>
    <x v="1"/>
    <s v="Maharashtra"/>
  </r>
  <r>
    <n v="8"/>
    <s v="ORD00008"/>
    <s v="CUST00008"/>
    <x v="0"/>
    <n v="53"/>
    <x v="2"/>
    <s v="2024-08-25"/>
    <x v="2"/>
    <x v="2"/>
    <s v="Online"/>
    <s v="Clothing"/>
    <s v="M"/>
    <n v="4"/>
    <s v="high"/>
    <n v="8940"/>
    <x v="5"/>
    <s v="Karnataka"/>
  </r>
  <r>
    <n v="9"/>
    <s v="ORD00009"/>
    <s v="CUST00009"/>
    <x v="0"/>
    <n v="35"/>
    <x v="1"/>
    <s v="2024-02-24"/>
    <x v="1"/>
    <x v="0"/>
    <s v="Store"/>
    <s v="Accessories"/>
    <s v="S"/>
    <n v="4"/>
    <s v="high"/>
    <n v="11640"/>
    <x v="5"/>
    <s v="Karnataka"/>
  </r>
  <r>
    <n v="10"/>
    <s v="ORD00010"/>
    <s v="CUST00010"/>
    <x v="0"/>
    <n v="49"/>
    <x v="2"/>
    <s v="2024-09-04"/>
    <x v="3"/>
    <x v="1"/>
    <s v="Online"/>
    <s v="Accessories"/>
    <s v="L"/>
    <n v="1"/>
    <s v="low"/>
    <n v="2185"/>
    <x v="4"/>
    <s v="Gujarat"/>
  </r>
  <r>
    <n v="11"/>
    <s v="ORD00011"/>
    <s v="CUST00011"/>
    <x v="1"/>
    <n v="53"/>
    <x v="2"/>
    <s v="2024-12-29"/>
    <x v="4"/>
    <x v="1"/>
    <s v="Online"/>
    <s v="Clothing"/>
    <s v="XL"/>
    <n v="2"/>
    <s v="low"/>
    <n v="1818"/>
    <x v="1"/>
    <s v="Maharashtra"/>
  </r>
  <r>
    <n v="12"/>
    <s v="ORD00012"/>
    <s v="CUST00012"/>
    <x v="1"/>
    <n v="25"/>
    <x v="1"/>
    <s v="2024-08-14"/>
    <x v="2"/>
    <x v="0"/>
    <s v="Store"/>
    <s v="Clothing"/>
    <s v="L"/>
    <n v="4"/>
    <s v="high"/>
    <n v="8404"/>
    <x v="4"/>
    <s v="Gujarat"/>
  </r>
  <r>
    <n v="13"/>
    <s v="ORD00013"/>
    <s v="CUST00013"/>
    <x v="0"/>
    <n v="21"/>
    <x v="0"/>
    <s v="2024-10-05"/>
    <x v="5"/>
    <x v="2"/>
    <s v="App"/>
    <s v="Accessories"/>
    <s v="L"/>
    <n v="4"/>
    <s v="high"/>
    <n v="10992"/>
    <x v="5"/>
    <s v="Karnataka"/>
  </r>
  <r>
    <n v="14"/>
    <s v="ORD00014"/>
    <s v="CUST00014"/>
    <x v="0"/>
    <n v="34"/>
    <x v="1"/>
    <s v="2024-08-18"/>
    <x v="2"/>
    <x v="2"/>
    <s v="App"/>
    <s v="Electronics"/>
    <s v="L"/>
    <n v="3"/>
    <s v="low"/>
    <n v="2301"/>
    <x v="6"/>
    <s v="Tamil Nadu"/>
  </r>
  <r>
    <n v="15"/>
    <s v="ORD00015"/>
    <s v="CUST00015"/>
    <x v="0"/>
    <n v="48"/>
    <x v="2"/>
    <s v="2024-07-10"/>
    <x v="6"/>
    <x v="0"/>
    <s v="App"/>
    <s v="Clothing"/>
    <s v="S"/>
    <n v="4"/>
    <s v="high"/>
    <n v="11800"/>
    <x v="2"/>
    <s v="Delhi"/>
  </r>
  <r>
    <n v="16"/>
    <s v="ORD00016"/>
    <s v="CUST00016"/>
    <x v="0"/>
    <n v="36"/>
    <x v="1"/>
    <s v="2024-07-14"/>
    <x v="6"/>
    <x v="0"/>
    <s v="Online"/>
    <s v="Shoes"/>
    <s v="L"/>
    <n v="5"/>
    <s v="high"/>
    <n v="8620"/>
    <x v="3"/>
    <s v="Maharashtra"/>
  </r>
  <r>
    <n v="17"/>
    <s v="ORD00017"/>
    <s v="CUST00017"/>
    <x v="1"/>
    <n v="24"/>
    <x v="0"/>
    <s v="2024-11-24"/>
    <x v="7"/>
    <x v="2"/>
    <s v="Store"/>
    <s v="Electronics"/>
    <s v="S"/>
    <n v="5"/>
    <s v="high"/>
    <n v="9190"/>
    <x v="5"/>
    <s v="Karnataka"/>
  </r>
  <r>
    <n v="18"/>
    <s v="ORD00018"/>
    <s v="CUST00018"/>
    <x v="1"/>
    <n v="36"/>
    <x v="1"/>
    <s v="2024-12-02"/>
    <x v="4"/>
    <x v="2"/>
    <s v="Store"/>
    <s v="Shoes"/>
    <s v="S"/>
    <n v="5"/>
    <s v="high"/>
    <n v="13040"/>
    <x v="6"/>
    <s v="Tamil Nadu"/>
  </r>
  <r>
    <n v="19"/>
    <s v="ORD00019"/>
    <s v="CUST00019"/>
    <x v="1"/>
    <n v="56"/>
    <x v="2"/>
    <s v="2024-09-18"/>
    <x v="3"/>
    <x v="0"/>
    <s v="Online"/>
    <s v="Clothing"/>
    <s v="XL"/>
    <n v="5"/>
    <s v="high"/>
    <n v="5830"/>
    <x v="2"/>
    <s v="Delhi"/>
  </r>
  <r>
    <n v="20"/>
    <s v="ORD00020"/>
    <s v="CUST00020"/>
    <x v="1"/>
    <n v="25"/>
    <x v="1"/>
    <s v="2024-07-22"/>
    <x v="6"/>
    <x v="2"/>
    <s v="Store"/>
    <s v="Electronics"/>
    <s v="S"/>
    <n v="1"/>
    <s v="low"/>
    <n v="937"/>
    <x v="7"/>
    <s v="Telangana"/>
  </r>
  <r>
    <n v="21"/>
    <s v="ORD00021"/>
    <s v="CUST00021"/>
    <x v="1"/>
    <n v="28"/>
    <x v="1"/>
    <s v="2024-10-07"/>
    <x v="5"/>
    <x v="1"/>
    <s v="App"/>
    <s v="Accessories"/>
    <s v="L"/>
    <n v="5"/>
    <s v="high"/>
    <n v="13675"/>
    <x v="1"/>
    <s v="Maharashtra"/>
  </r>
  <r>
    <n v="22"/>
    <s v="ORD00022"/>
    <s v="CUST00022"/>
    <x v="0"/>
    <n v="58"/>
    <x v="2"/>
    <s v="2024-09-07"/>
    <x v="3"/>
    <x v="1"/>
    <s v="Online"/>
    <s v="Accessories"/>
    <s v="L"/>
    <n v="1"/>
    <s v="low"/>
    <n v="1798"/>
    <x v="6"/>
    <s v="Tamil Nadu"/>
  </r>
  <r>
    <n v="23"/>
    <s v="ORD00023"/>
    <s v="CUST00023"/>
    <x v="0"/>
    <n v="23"/>
    <x v="0"/>
    <s v="2024-11-22"/>
    <x v="7"/>
    <x v="2"/>
    <s v="Online"/>
    <s v="Electronics"/>
    <s v="XL"/>
    <n v="4"/>
    <s v="high"/>
    <n v="9960"/>
    <x v="1"/>
    <s v="Maharashtra"/>
  </r>
  <r>
    <n v="24"/>
    <s v="ORD00024"/>
    <s v="CUST00024"/>
    <x v="1"/>
    <n v="28"/>
    <x v="1"/>
    <s v="2024-07-08"/>
    <x v="6"/>
    <x v="1"/>
    <s v="App"/>
    <s v="Electronics"/>
    <s v="S"/>
    <n v="2"/>
    <s v="high"/>
    <n v="3396"/>
    <x v="2"/>
    <s v="Delhi"/>
  </r>
  <r>
    <n v="25"/>
    <s v="ORD00025"/>
    <s v="CUST00025"/>
    <x v="0"/>
    <n v="41"/>
    <x v="1"/>
    <s v="2024-09-04"/>
    <x v="3"/>
    <x v="1"/>
    <s v="App"/>
    <s v="Accessories"/>
    <s v="S"/>
    <n v="2"/>
    <s v="low"/>
    <n v="1652"/>
    <x v="5"/>
    <s v="Karnataka"/>
  </r>
  <r>
    <n v="26"/>
    <s v="ORD00026"/>
    <s v="CUST00026"/>
    <x v="1"/>
    <n v="27"/>
    <x v="1"/>
    <s v="2024-09-21"/>
    <x v="3"/>
    <x v="0"/>
    <s v="Online"/>
    <s v="Clothing"/>
    <s v="S"/>
    <n v="2"/>
    <s v="low"/>
    <n v="1864"/>
    <x v="5"/>
    <s v="Karnataka"/>
  </r>
  <r>
    <n v="27"/>
    <s v="ORD00027"/>
    <s v="CUST00027"/>
    <x v="0"/>
    <n v="45"/>
    <x v="1"/>
    <s v="2024-06-07"/>
    <x v="8"/>
    <x v="0"/>
    <s v="Store"/>
    <s v="Accessories"/>
    <s v="S"/>
    <n v="5"/>
    <s v="high"/>
    <n v="5190"/>
    <x v="2"/>
    <s v="Delhi"/>
  </r>
  <r>
    <n v="28"/>
    <s v="ORD00028"/>
    <s v="CUST00028"/>
    <x v="1"/>
    <n v="31"/>
    <x v="1"/>
    <s v="2024-05-12"/>
    <x v="9"/>
    <x v="2"/>
    <s v="Online"/>
    <s v="Clothing"/>
    <s v="XL"/>
    <n v="4"/>
    <s v="high"/>
    <n v="8708"/>
    <x v="5"/>
    <s v="Karnataka"/>
  </r>
  <r>
    <n v="29"/>
    <s v="ORD00029"/>
    <s v="CUST00029"/>
    <x v="0"/>
    <n v="35"/>
    <x v="1"/>
    <s v="2024-05-19"/>
    <x v="9"/>
    <x v="1"/>
    <s v="Store"/>
    <s v="Clothing"/>
    <s v="M"/>
    <n v="3"/>
    <s v="high"/>
    <n v="3105"/>
    <x v="3"/>
    <s v="Maharashtra"/>
  </r>
  <r>
    <n v="30"/>
    <s v="ORD00030"/>
    <s v="CUST00030"/>
    <x v="0"/>
    <n v="52"/>
    <x v="2"/>
    <s v="2024-06-22"/>
    <x v="8"/>
    <x v="0"/>
    <s v="Store"/>
    <s v="Clothing"/>
    <s v="XL"/>
    <n v="1"/>
    <s v="low"/>
    <n v="614"/>
    <x v="3"/>
    <s v="Maharashtra"/>
  </r>
  <r>
    <n v="31"/>
    <s v="ORD00031"/>
    <s v="CUST00031"/>
    <x v="1"/>
    <n v="46"/>
    <x v="2"/>
    <s v="2024-02-19"/>
    <x v="1"/>
    <x v="1"/>
    <s v="Online"/>
    <s v="Shoes"/>
    <s v="M"/>
    <n v="2"/>
    <s v="high"/>
    <n v="4548"/>
    <x v="5"/>
    <s v="Karnataka"/>
  </r>
  <r>
    <n v="32"/>
    <s v="ORD00032"/>
    <s v="CUST00032"/>
    <x v="0"/>
    <n v="28"/>
    <x v="1"/>
    <s v="2024-11-21"/>
    <x v="7"/>
    <x v="1"/>
    <s v="Online"/>
    <s v="Electronics"/>
    <s v="L"/>
    <n v="1"/>
    <s v="low"/>
    <n v="681"/>
    <x v="1"/>
    <s v="Maharashtra"/>
  </r>
  <r>
    <n v="33"/>
    <s v="ORD00033"/>
    <s v="CUST00033"/>
    <x v="0"/>
    <n v="51"/>
    <x v="2"/>
    <s v="2024-12-29"/>
    <x v="4"/>
    <x v="0"/>
    <s v="Store"/>
    <s v="Shoes"/>
    <s v="XL"/>
    <n v="4"/>
    <s v="high"/>
    <n v="11636"/>
    <x v="7"/>
    <s v="Telangana"/>
  </r>
  <r>
    <n v="34"/>
    <s v="ORD00034"/>
    <s v="CUST00034"/>
    <x v="0"/>
    <n v="55"/>
    <x v="2"/>
    <s v="2024-08-31"/>
    <x v="2"/>
    <x v="1"/>
    <s v="Store"/>
    <s v="Accessories"/>
    <s v="S"/>
    <n v="4"/>
    <s v="high"/>
    <n v="9624"/>
    <x v="7"/>
    <s v="Telangana"/>
  </r>
  <r>
    <n v="35"/>
    <s v="ORD00035"/>
    <s v="CUST00035"/>
    <x v="0"/>
    <n v="22"/>
    <x v="0"/>
    <s v="2024-09-21"/>
    <x v="3"/>
    <x v="2"/>
    <s v="App"/>
    <s v="Clothing"/>
    <s v="XL"/>
    <n v="2"/>
    <s v="high"/>
    <n v="3558"/>
    <x v="5"/>
    <s v="Karnataka"/>
  </r>
  <r>
    <n v="36"/>
    <s v="ORD00036"/>
    <s v="CUST00036"/>
    <x v="0"/>
    <n v="28"/>
    <x v="1"/>
    <s v="2024-07-21"/>
    <x v="6"/>
    <x v="2"/>
    <s v="App"/>
    <s v="Shoes"/>
    <s v="M"/>
    <n v="4"/>
    <s v="high"/>
    <n v="10440"/>
    <x v="3"/>
    <s v="Maharashtra"/>
  </r>
  <r>
    <n v="37"/>
    <s v="ORD00037"/>
    <s v="CUST00037"/>
    <x v="0"/>
    <n v="41"/>
    <x v="1"/>
    <s v="2024-07-06"/>
    <x v="6"/>
    <x v="1"/>
    <s v="App"/>
    <s v="Electronics"/>
    <s v="XL"/>
    <n v="3"/>
    <s v="high"/>
    <n v="4179"/>
    <x v="0"/>
    <s v="Maharashtra"/>
  </r>
  <r>
    <n v="38"/>
    <s v="ORD00038"/>
    <s v="CUST00038"/>
    <x v="1"/>
    <n v="46"/>
    <x v="2"/>
    <s v="2024-04-07"/>
    <x v="0"/>
    <x v="2"/>
    <s v="Store"/>
    <s v="Electronics"/>
    <s v="L"/>
    <n v="4"/>
    <s v="low"/>
    <n v="2332"/>
    <x v="6"/>
    <s v="Tamil Nadu"/>
  </r>
  <r>
    <n v="39"/>
    <s v="ORD00039"/>
    <s v="CUST00039"/>
    <x v="0"/>
    <n v="26"/>
    <x v="1"/>
    <s v="2024-06-07"/>
    <x v="8"/>
    <x v="2"/>
    <s v="Store"/>
    <s v="Electronics"/>
    <s v="S"/>
    <n v="4"/>
    <s v="high"/>
    <n v="3304"/>
    <x v="1"/>
    <s v="Maharashtra"/>
  </r>
  <r>
    <n v="40"/>
    <s v="ORD00040"/>
    <s v="CUST00040"/>
    <x v="0"/>
    <n v="54"/>
    <x v="2"/>
    <s v="2024-01-05"/>
    <x v="10"/>
    <x v="0"/>
    <s v="Online"/>
    <s v="Clothing"/>
    <s v="XL"/>
    <n v="1"/>
    <s v="low"/>
    <n v="1185"/>
    <x v="1"/>
    <s v="Maharashtra"/>
  </r>
  <r>
    <n v="41"/>
    <s v="ORD00041"/>
    <s v="CUST00041"/>
    <x v="1"/>
    <n v="40"/>
    <x v="1"/>
    <s v="2024-04-13"/>
    <x v="0"/>
    <x v="0"/>
    <s v="Online"/>
    <s v="Electronics"/>
    <s v="XL"/>
    <n v="5"/>
    <s v="high"/>
    <n v="11215"/>
    <x v="3"/>
    <s v="Maharashtra"/>
  </r>
  <r>
    <n v="42"/>
    <s v="ORD00042"/>
    <s v="CUST00042"/>
    <x v="0"/>
    <n v="40"/>
    <x v="1"/>
    <s v="2024-04-11"/>
    <x v="0"/>
    <x v="0"/>
    <s v="App"/>
    <s v="Shoes"/>
    <s v="M"/>
    <n v="2"/>
    <s v="high"/>
    <n v="3498"/>
    <x v="0"/>
    <s v="Maharashtra"/>
  </r>
  <r>
    <n v="43"/>
    <s v="ORD00043"/>
    <s v="CUST00043"/>
    <x v="0"/>
    <n v="40"/>
    <x v="1"/>
    <s v="2024-06-29"/>
    <x v="8"/>
    <x v="0"/>
    <s v="App"/>
    <s v="Clothing"/>
    <s v="S"/>
    <n v="3"/>
    <s v="high"/>
    <n v="5631"/>
    <x v="5"/>
    <s v="Karnataka"/>
  </r>
  <r>
    <n v="44"/>
    <s v="ORD00044"/>
    <s v="CUST00044"/>
    <x v="1"/>
    <n v="25"/>
    <x v="1"/>
    <s v="2024-02-11"/>
    <x v="1"/>
    <x v="1"/>
    <s v="Online"/>
    <s v="Electronics"/>
    <s v="S"/>
    <n v="3"/>
    <s v="high"/>
    <n v="8745"/>
    <x v="4"/>
    <s v="Gujarat"/>
  </r>
  <r>
    <n v="45"/>
    <s v="ORD00045"/>
    <s v="CUST00045"/>
    <x v="1"/>
    <n v="49"/>
    <x v="2"/>
    <s v="2024-03-20"/>
    <x v="11"/>
    <x v="1"/>
    <s v="Online"/>
    <s v="Shoes"/>
    <s v="S"/>
    <n v="5"/>
    <s v="high"/>
    <n v="13005"/>
    <x v="3"/>
    <s v="Maharashtra"/>
  </r>
  <r>
    <n v="46"/>
    <s v="ORD00046"/>
    <s v="CUST00046"/>
    <x v="0"/>
    <n v="27"/>
    <x v="1"/>
    <s v="2024-07-05"/>
    <x v="6"/>
    <x v="1"/>
    <s v="App"/>
    <s v="Electronics"/>
    <s v="L"/>
    <n v="5"/>
    <s v="high"/>
    <n v="11945"/>
    <x v="0"/>
    <s v="Maharashtra"/>
  </r>
  <r>
    <n v="47"/>
    <s v="ORD00047"/>
    <s v="CUST00047"/>
    <x v="0"/>
    <n v="45"/>
    <x v="1"/>
    <s v="2024-10-28"/>
    <x v="5"/>
    <x v="0"/>
    <s v="Store"/>
    <s v="Electronics"/>
    <s v="M"/>
    <n v="1"/>
    <s v="low"/>
    <n v="2955"/>
    <x v="0"/>
    <s v="Maharashtra"/>
  </r>
  <r>
    <n v="48"/>
    <s v="ORD00048"/>
    <s v="CUST00048"/>
    <x v="0"/>
    <n v="48"/>
    <x v="2"/>
    <s v="2024-06-09"/>
    <x v="8"/>
    <x v="1"/>
    <s v="Online"/>
    <s v="Shoes"/>
    <s v="L"/>
    <n v="1"/>
    <s v="low"/>
    <n v="1963"/>
    <x v="5"/>
    <s v="Karnataka"/>
  </r>
  <r>
    <n v="49"/>
    <s v="ORD00049"/>
    <s v="CUST00049"/>
    <x v="0"/>
    <n v="46"/>
    <x v="2"/>
    <s v="2024-03-03"/>
    <x v="11"/>
    <x v="2"/>
    <s v="App"/>
    <s v="Electronics"/>
    <s v="XL"/>
    <n v="2"/>
    <s v="high"/>
    <n v="4028"/>
    <x v="3"/>
    <s v="Maharashtra"/>
  </r>
  <r>
    <n v="50"/>
    <s v="ORD00050"/>
    <s v="CUST00050"/>
    <x v="0"/>
    <n v="60"/>
    <x v="2"/>
    <s v="2024-10-13"/>
    <x v="5"/>
    <x v="1"/>
    <s v="Store"/>
    <s v="Accessories"/>
    <s v="L"/>
    <n v="2"/>
    <s v="high"/>
    <n v="3940"/>
    <x v="0"/>
    <s v="Maharashtra"/>
  </r>
  <r>
    <n v="51"/>
    <s v="ORD00051"/>
    <s v="CUST00051"/>
    <x v="0"/>
    <n v="37"/>
    <x v="1"/>
    <s v="2024-08-29"/>
    <x v="2"/>
    <x v="0"/>
    <s v="Store"/>
    <s v="Shoes"/>
    <s v="XL"/>
    <n v="5"/>
    <s v="high"/>
    <n v="3530"/>
    <x v="5"/>
    <s v="Karnataka"/>
  </r>
  <r>
    <n v="52"/>
    <s v="ORD00052"/>
    <s v="CUST00052"/>
    <x v="1"/>
    <n v="56"/>
    <x v="2"/>
    <s v="2024-05-22"/>
    <x v="9"/>
    <x v="2"/>
    <s v="Store"/>
    <s v="Electronics"/>
    <s v="S"/>
    <n v="1"/>
    <s v="low"/>
    <n v="1107"/>
    <x v="1"/>
    <s v="Maharashtra"/>
  </r>
  <r>
    <n v="53"/>
    <s v="ORD00053"/>
    <s v="CUST00053"/>
    <x v="0"/>
    <n v="54"/>
    <x v="2"/>
    <s v="2024-04-21"/>
    <x v="0"/>
    <x v="2"/>
    <s v="Online"/>
    <s v="Accessories"/>
    <s v="L"/>
    <n v="4"/>
    <s v="low"/>
    <n v="2152"/>
    <x v="5"/>
    <s v="Karnataka"/>
  </r>
  <r>
    <n v="54"/>
    <s v="ORD00054"/>
    <s v="CUST00054"/>
    <x v="0"/>
    <n v="59"/>
    <x v="2"/>
    <s v="2024-07-15"/>
    <x v="6"/>
    <x v="1"/>
    <s v="App"/>
    <s v="Shoes"/>
    <s v="S"/>
    <n v="3"/>
    <s v="high"/>
    <n v="8556"/>
    <x v="3"/>
    <s v="Maharashtra"/>
  </r>
  <r>
    <n v="55"/>
    <s v="ORD00055"/>
    <s v="CUST00055"/>
    <x v="0"/>
    <n v="20"/>
    <x v="0"/>
    <s v="2024-12-24"/>
    <x v="4"/>
    <x v="0"/>
    <s v="App"/>
    <s v="Electronics"/>
    <s v="S"/>
    <n v="1"/>
    <s v="low"/>
    <n v="2798"/>
    <x v="3"/>
    <s v="Maharashtra"/>
  </r>
  <r>
    <n v="56"/>
    <s v="ORD00056"/>
    <s v="CUST00056"/>
    <x v="1"/>
    <n v="46"/>
    <x v="2"/>
    <s v="2024-08-25"/>
    <x v="2"/>
    <x v="0"/>
    <s v="Online"/>
    <s v="Accessories"/>
    <s v="XL"/>
    <n v="5"/>
    <s v="low"/>
    <n v="2505"/>
    <x v="2"/>
    <s v="Delhi"/>
  </r>
  <r>
    <n v="57"/>
    <s v="ORD00057"/>
    <s v="CUST00057"/>
    <x v="0"/>
    <n v="27"/>
    <x v="1"/>
    <s v="2024-11-02"/>
    <x v="7"/>
    <x v="2"/>
    <s v="App"/>
    <s v="Shoes"/>
    <s v="S"/>
    <n v="2"/>
    <s v="low"/>
    <n v="1454"/>
    <x v="1"/>
    <s v="Maharashtra"/>
  </r>
  <r>
    <n v="58"/>
    <s v="ORD00058"/>
    <s v="CUST00058"/>
    <x v="1"/>
    <n v="46"/>
    <x v="2"/>
    <s v="2024-04-29"/>
    <x v="0"/>
    <x v="0"/>
    <s v="App"/>
    <s v="Shoes"/>
    <s v="L"/>
    <n v="4"/>
    <s v="high"/>
    <n v="3968"/>
    <x v="2"/>
    <s v="Delhi"/>
  </r>
  <r>
    <n v="59"/>
    <s v="ORD00059"/>
    <s v="CUST00059"/>
    <x v="0"/>
    <n v="24"/>
    <x v="0"/>
    <s v="2024-04-10"/>
    <x v="0"/>
    <x v="2"/>
    <s v="Online"/>
    <s v="Shoes"/>
    <s v="L"/>
    <n v="3"/>
    <s v="high"/>
    <n v="3117"/>
    <x v="0"/>
    <s v="Maharashtra"/>
  </r>
  <r>
    <n v="60"/>
    <s v="ORD00060"/>
    <s v="CUST00060"/>
    <x v="0"/>
    <n v="44"/>
    <x v="1"/>
    <s v="2024-12-18"/>
    <x v="4"/>
    <x v="0"/>
    <s v="Online"/>
    <s v="Clothing"/>
    <s v="L"/>
    <n v="4"/>
    <s v="high"/>
    <n v="7880"/>
    <x v="7"/>
    <s v="Telangana"/>
  </r>
  <r>
    <n v="61"/>
    <s v="ORD00061"/>
    <s v="CUST00061"/>
    <x v="1"/>
    <n v="51"/>
    <x v="2"/>
    <s v="2024-02-26"/>
    <x v="1"/>
    <x v="2"/>
    <s v="Online"/>
    <s v="Accessories"/>
    <s v="L"/>
    <n v="2"/>
    <s v="high"/>
    <n v="5402"/>
    <x v="5"/>
    <s v="Karnataka"/>
  </r>
  <r>
    <n v="62"/>
    <s v="ORD00062"/>
    <s v="CUST00062"/>
    <x v="0"/>
    <n v="51"/>
    <x v="2"/>
    <s v="2024-02-08"/>
    <x v="1"/>
    <x v="1"/>
    <s v="Online"/>
    <s v="Shoes"/>
    <s v="M"/>
    <n v="4"/>
    <s v="high"/>
    <n v="8180"/>
    <x v="0"/>
    <s v="Maharashtra"/>
  </r>
  <r>
    <n v="63"/>
    <s v="ORD00063"/>
    <s v="CUST00063"/>
    <x v="1"/>
    <n v="54"/>
    <x v="2"/>
    <s v="2024-07-06"/>
    <x v="6"/>
    <x v="0"/>
    <s v="Online"/>
    <s v="Accessories"/>
    <s v="M"/>
    <n v="4"/>
    <s v="high"/>
    <n v="11656"/>
    <x v="7"/>
    <s v="Telangana"/>
  </r>
  <r>
    <n v="64"/>
    <s v="ORD00064"/>
    <s v="CUST00064"/>
    <x v="1"/>
    <n v="21"/>
    <x v="0"/>
    <s v="2024-04-19"/>
    <x v="0"/>
    <x v="2"/>
    <s v="Online"/>
    <s v="Clothing"/>
    <s v="S"/>
    <n v="1"/>
    <s v="low"/>
    <n v="1954"/>
    <x v="6"/>
    <s v="Tamil Nadu"/>
  </r>
  <r>
    <n v="65"/>
    <s v="ORD00065"/>
    <s v="CUST00065"/>
    <x v="1"/>
    <n v="41"/>
    <x v="1"/>
    <s v="2024-12-20"/>
    <x v="4"/>
    <x v="1"/>
    <s v="Store"/>
    <s v="Electronics"/>
    <s v="XL"/>
    <n v="5"/>
    <s v="high"/>
    <n v="14245"/>
    <x v="2"/>
    <s v="Delhi"/>
  </r>
  <r>
    <n v="66"/>
    <s v="ORD00066"/>
    <s v="CUST00066"/>
    <x v="0"/>
    <n v="52"/>
    <x v="2"/>
    <s v="2024-01-04"/>
    <x v="10"/>
    <x v="1"/>
    <s v="Online"/>
    <s v="Clothing"/>
    <s v="S"/>
    <n v="3"/>
    <s v="low"/>
    <n v="2322"/>
    <x v="5"/>
    <s v="Karnataka"/>
  </r>
  <r>
    <n v="67"/>
    <s v="ORD00067"/>
    <s v="CUST00067"/>
    <x v="0"/>
    <n v="31"/>
    <x v="1"/>
    <s v="2024-10-14"/>
    <x v="5"/>
    <x v="2"/>
    <s v="App"/>
    <s v="Clothing"/>
    <s v="L"/>
    <n v="3"/>
    <s v="high"/>
    <n v="8298"/>
    <x v="4"/>
    <s v="Gujarat"/>
  </r>
  <r>
    <n v="68"/>
    <s v="ORD00068"/>
    <s v="CUST00068"/>
    <x v="1"/>
    <n v="18"/>
    <x v="0"/>
    <s v="2024-03-16"/>
    <x v="11"/>
    <x v="1"/>
    <s v="Online"/>
    <s v="Shoes"/>
    <s v="XL"/>
    <n v="2"/>
    <s v="low"/>
    <n v="2854"/>
    <x v="6"/>
    <s v="Tamil Nadu"/>
  </r>
  <r>
    <n v="69"/>
    <s v="ORD00069"/>
    <s v="CUST00069"/>
    <x v="1"/>
    <n v="55"/>
    <x v="2"/>
    <s v="2024-12-05"/>
    <x v="4"/>
    <x v="1"/>
    <s v="Online"/>
    <s v="Shoes"/>
    <s v="XL"/>
    <n v="1"/>
    <s v="low"/>
    <n v="1667"/>
    <x v="5"/>
    <s v="Karnataka"/>
  </r>
  <r>
    <n v="70"/>
    <s v="ORD00070"/>
    <s v="CUST00070"/>
    <x v="0"/>
    <n v="42"/>
    <x v="1"/>
    <s v="2024-12-08"/>
    <x v="4"/>
    <x v="1"/>
    <s v="App"/>
    <s v="Electronics"/>
    <s v="XL"/>
    <n v="5"/>
    <s v="high"/>
    <n v="4505"/>
    <x v="0"/>
    <s v="Maharashtra"/>
  </r>
  <r>
    <n v="71"/>
    <s v="ORD00071"/>
    <s v="CUST00071"/>
    <x v="0"/>
    <n v="30"/>
    <x v="1"/>
    <s v="2024-05-10"/>
    <x v="9"/>
    <x v="0"/>
    <s v="Online"/>
    <s v="Electronics"/>
    <s v="XL"/>
    <n v="4"/>
    <s v="high"/>
    <n v="11612"/>
    <x v="5"/>
    <s v="Karnataka"/>
  </r>
  <r>
    <n v="72"/>
    <s v="ORD00072"/>
    <s v="CUST00072"/>
    <x v="1"/>
    <n v="25"/>
    <x v="1"/>
    <s v="2024-08-20"/>
    <x v="2"/>
    <x v="0"/>
    <s v="Online"/>
    <s v="Clothing"/>
    <s v="S"/>
    <n v="1"/>
    <s v="low"/>
    <n v="2835"/>
    <x v="3"/>
    <s v="Maharashtra"/>
  </r>
  <r>
    <n v="73"/>
    <s v="ORD00073"/>
    <s v="CUST00073"/>
    <x v="0"/>
    <n v="32"/>
    <x v="1"/>
    <s v="2024-01-04"/>
    <x v="10"/>
    <x v="2"/>
    <s v="Store"/>
    <s v="Shoes"/>
    <s v="M"/>
    <n v="5"/>
    <s v="high"/>
    <n v="9415"/>
    <x v="5"/>
    <s v="Karnataka"/>
  </r>
  <r>
    <n v="74"/>
    <s v="ORD00074"/>
    <s v="CUST00074"/>
    <x v="1"/>
    <n v="19"/>
    <x v="0"/>
    <s v="2024-01-13"/>
    <x v="10"/>
    <x v="0"/>
    <s v="Online"/>
    <s v="Accessories"/>
    <s v="XL"/>
    <n v="4"/>
    <s v="low"/>
    <n v="2972"/>
    <x v="4"/>
    <s v="Gujarat"/>
  </r>
  <r>
    <n v="75"/>
    <s v="ORD00075"/>
    <s v="CUST00075"/>
    <x v="1"/>
    <n v="49"/>
    <x v="2"/>
    <s v="2024-05-07"/>
    <x v="9"/>
    <x v="2"/>
    <s v="Store"/>
    <s v="Shoes"/>
    <s v="XL"/>
    <n v="1"/>
    <s v="low"/>
    <n v="802"/>
    <x v="0"/>
    <s v="Maharashtra"/>
  </r>
  <r>
    <n v="76"/>
    <s v="ORD00076"/>
    <s v="CUST00076"/>
    <x v="1"/>
    <n v="56"/>
    <x v="2"/>
    <s v="2024-01-20"/>
    <x v="10"/>
    <x v="2"/>
    <s v="App"/>
    <s v="Shoes"/>
    <s v="S"/>
    <n v="4"/>
    <s v="high"/>
    <n v="8040"/>
    <x v="4"/>
    <s v="Gujarat"/>
  </r>
  <r>
    <n v="77"/>
    <s v="ORD00077"/>
    <s v="CUST00077"/>
    <x v="1"/>
    <n v="18"/>
    <x v="0"/>
    <s v="2024-02-09"/>
    <x v="1"/>
    <x v="1"/>
    <s v="App"/>
    <s v="Accessories"/>
    <s v="M"/>
    <n v="5"/>
    <s v="high"/>
    <n v="10840"/>
    <x v="0"/>
    <s v="Maharashtra"/>
  </r>
  <r>
    <n v="78"/>
    <s v="ORD00078"/>
    <s v="CUST00078"/>
    <x v="0"/>
    <n v="26"/>
    <x v="1"/>
    <s v="2024-04-24"/>
    <x v="0"/>
    <x v="1"/>
    <s v="Online"/>
    <s v="Shoes"/>
    <s v="S"/>
    <n v="4"/>
    <s v="high"/>
    <n v="4328"/>
    <x v="6"/>
    <s v="Tamil Nadu"/>
  </r>
  <r>
    <n v="79"/>
    <s v="ORD00079"/>
    <s v="CUST00079"/>
    <x v="1"/>
    <n v="44"/>
    <x v="1"/>
    <s v="2024-11-29"/>
    <x v="7"/>
    <x v="2"/>
    <s v="Online"/>
    <s v="Clothing"/>
    <s v="L"/>
    <n v="5"/>
    <s v="high"/>
    <n v="3005"/>
    <x v="0"/>
    <s v="Maharashtra"/>
  </r>
  <r>
    <n v="80"/>
    <s v="ORD00080"/>
    <s v="CUST00080"/>
    <x v="1"/>
    <n v="60"/>
    <x v="2"/>
    <s v="2024-12-03"/>
    <x v="4"/>
    <x v="2"/>
    <s v="Online"/>
    <s v="Accessories"/>
    <s v="S"/>
    <n v="3"/>
    <s v="high"/>
    <n v="3042"/>
    <x v="0"/>
    <s v="Maharashtra"/>
  </r>
  <r>
    <n v="81"/>
    <s v="ORD00081"/>
    <s v="CUST00081"/>
    <x v="0"/>
    <n v="30"/>
    <x v="1"/>
    <s v="2024-02-13"/>
    <x v="1"/>
    <x v="2"/>
    <s v="Store"/>
    <s v="Electronics"/>
    <s v="S"/>
    <n v="2"/>
    <s v="low"/>
    <n v="2466"/>
    <x v="7"/>
    <s v="Telangana"/>
  </r>
  <r>
    <n v="82"/>
    <s v="ORD00082"/>
    <s v="CUST00082"/>
    <x v="1"/>
    <n v="32"/>
    <x v="1"/>
    <s v="2024-09-18"/>
    <x v="3"/>
    <x v="2"/>
    <s v="Online"/>
    <s v="Clothing"/>
    <s v="S"/>
    <n v="5"/>
    <s v="high"/>
    <n v="3750"/>
    <x v="7"/>
    <s v="Telangana"/>
  </r>
  <r>
    <n v="83"/>
    <s v="ORD00083"/>
    <s v="CUST00083"/>
    <x v="1"/>
    <n v="54"/>
    <x v="2"/>
    <s v="2024-02-05"/>
    <x v="1"/>
    <x v="2"/>
    <s v="Store"/>
    <s v="Clothing"/>
    <s v="M"/>
    <n v="4"/>
    <s v="high"/>
    <n v="5528"/>
    <x v="2"/>
    <s v="Delhi"/>
  </r>
  <r>
    <n v="84"/>
    <s v="ORD00084"/>
    <s v="CUST00084"/>
    <x v="0"/>
    <n v="25"/>
    <x v="1"/>
    <s v="2024-03-30"/>
    <x v="11"/>
    <x v="0"/>
    <s v="Store"/>
    <s v="Accessories"/>
    <s v="M"/>
    <n v="1"/>
    <s v="low"/>
    <n v="2574"/>
    <x v="4"/>
    <s v="Gujarat"/>
  </r>
  <r>
    <n v="85"/>
    <s v="ORD00085"/>
    <s v="CUST00085"/>
    <x v="0"/>
    <n v="39"/>
    <x v="1"/>
    <s v="2024-03-21"/>
    <x v="11"/>
    <x v="2"/>
    <s v="Online"/>
    <s v="Electronics"/>
    <s v="M"/>
    <n v="1"/>
    <s v="low"/>
    <n v="2143"/>
    <x v="4"/>
    <s v="Gujarat"/>
  </r>
  <r>
    <n v="86"/>
    <s v="ORD00086"/>
    <s v="CUST00086"/>
    <x v="1"/>
    <n v="26"/>
    <x v="1"/>
    <s v="2024-11-27"/>
    <x v="7"/>
    <x v="1"/>
    <s v="Store"/>
    <s v="Accessories"/>
    <s v="XL"/>
    <n v="3"/>
    <s v="high"/>
    <n v="5076"/>
    <x v="7"/>
    <s v="Telangana"/>
  </r>
  <r>
    <n v="87"/>
    <s v="ORD00087"/>
    <s v="CUST00087"/>
    <x v="1"/>
    <n v="38"/>
    <x v="1"/>
    <s v="2024-08-13"/>
    <x v="2"/>
    <x v="0"/>
    <s v="Online"/>
    <s v="Electronics"/>
    <s v="S"/>
    <n v="4"/>
    <s v="high"/>
    <n v="11632"/>
    <x v="4"/>
    <s v="Gujarat"/>
  </r>
  <r>
    <n v="88"/>
    <s v="ORD00088"/>
    <s v="CUST00088"/>
    <x v="1"/>
    <n v="26"/>
    <x v="1"/>
    <s v="2024-12-04"/>
    <x v="4"/>
    <x v="1"/>
    <s v="App"/>
    <s v="Shoes"/>
    <s v="M"/>
    <n v="3"/>
    <s v="low"/>
    <n v="1587"/>
    <x v="6"/>
    <s v="Tamil Nadu"/>
  </r>
  <r>
    <n v="89"/>
    <s v="ORD00089"/>
    <s v="CUST00089"/>
    <x v="0"/>
    <n v="24"/>
    <x v="0"/>
    <s v="2024-05-06"/>
    <x v="9"/>
    <x v="0"/>
    <s v="Store"/>
    <s v="Electronics"/>
    <s v="XL"/>
    <n v="1"/>
    <s v="low"/>
    <n v="1682"/>
    <x v="5"/>
    <s v="Karnataka"/>
  </r>
  <r>
    <n v="90"/>
    <s v="ORD00090"/>
    <s v="CUST00090"/>
    <x v="0"/>
    <n v="52"/>
    <x v="2"/>
    <s v="2024-03-07"/>
    <x v="11"/>
    <x v="0"/>
    <s v="App"/>
    <s v="Shoes"/>
    <s v="S"/>
    <n v="4"/>
    <s v="high"/>
    <n v="6340"/>
    <x v="1"/>
    <s v="Maharashtra"/>
  </r>
  <r>
    <n v="91"/>
    <s v="ORD00091"/>
    <s v="CUST00091"/>
    <x v="0"/>
    <n v="47"/>
    <x v="2"/>
    <s v="2024-07-26"/>
    <x v="6"/>
    <x v="1"/>
    <s v="App"/>
    <s v="Electronics"/>
    <s v="XL"/>
    <n v="2"/>
    <s v="high"/>
    <n v="4164"/>
    <x v="1"/>
    <s v="Maharashtra"/>
  </r>
  <r>
    <n v="92"/>
    <s v="ORD00092"/>
    <s v="CUST00092"/>
    <x v="0"/>
    <n v="56"/>
    <x v="2"/>
    <s v="2024-07-28"/>
    <x v="6"/>
    <x v="0"/>
    <s v="App"/>
    <s v="Clothing"/>
    <s v="S"/>
    <n v="2"/>
    <s v="high"/>
    <n v="5416"/>
    <x v="6"/>
    <s v="Tamil Nadu"/>
  </r>
  <r>
    <n v="93"/>
    <s v="ORD00093"/>
    <s v="CUST00093"/>
    <x v="0"/>
    <n v="39"/>
    <x v="1"/>
    <s v="2024-03-25"/>
    <x v="11"/>
    <x v="2"/>
    <s v="App"/>
    <s v="Accessories"/>
    <s v="XL"/>
    <n v="5"/>
    <s v="high"/>
    <n v="7765"/>
    <x v="1"/>
    <s v="Maharashtra"/>
  </r>
  <r>
    <n v="94"/>
    <s v="ORD00094"/>
    <s v="CUST00094"/>
    <x v="0"/>
    <n v="52"/>
    <x v="2"/>
    <s v="2024-05-31"/>
    <x v="9"/>
    <x v="0"/>
    <s v="Store"/>
    <s v="Electronics"/>
    <s v="M"/>
    <n v="4"/>
    <s v="high"/>
    <n v="10424"/>
    <x v="4"/>
    <s v="Gujarat"/>
  </r>
  <r>
    <n v="95"/>
    <s v="ORD00095"/>
    <s v="CUST00095"/>
    <x v="1"/>
    <n v="27"/>
    <x v="1"/>
    <s v="2024-04-02"/>
    <x v="0"/>
    <x v="2"/>
    <s v="Store"/>
    <s v="Accessories"/>
    <s v="XL"/>
    <n v="2"/>
    <s v="high"/>
    <n v="5614"/>
    <x v="4"/>
    <s v="Gujarat"/>
  </r>
  <r>
    <n v="96"/>
    <s v="ORD00096"/>
    <s v="CUST00096"/>
    <x v="0"/>
    <n v="26"/>
    <x v="1"/>
    <s v="2024-01-27"/>
    <x v="10"/>
    <x v="2"/>
    <s v="Online"/>
    <s v="Clothing"/>
    <s v="S"/>
    <n v="2"/>
    <s v="high"/>
    <n v="3838"/>
    <x v="5"/>
    <s v="Karnataka"/>
  </r>
  <r>
    <n v="97"/>
    <s v="ORD00097"/>
    <s v="CUST00097"/>
    <x v="0"/>
    <n v="56"/>
    <x v="2"/>
    <s v="2024-06-29"/>
    <x v="8"/>
    <x v="0"/>
    <s v="App"/>
    <s v="Accessories"/>
    <s v="XL"/>
    <n v="4"/>
    <s v="high"/>
    <n v="9900"/>
    <x v="7"/>
    <s v="Telangana"/>
  </r>
  <r>
    <n v="98"/>
    <s v="ORD00098"/>
    <s v="CUST00098"/>
    <x v="0"/>
    <n v="25"/>
    <x v="1"/>
    <s v="2024-01-13"/>
    <x v="10"/>
    <x v="1"/>
    <s v="App"/>
    <s v="Clothing"/>
    <s v="S"/>
    <n v="2"/>
    <s v="high"/>
    <n v="5170"/>
    <x v="7"/>
    <s v="Telangana"/>
  </r>
  <r>
    <n v="99"/>
    <s v="ORD00099"/>
    <s v="CUST00099"/>
    <x v="0"/>
    <n v="27"/>
    <x v="1"/>
    <s v="2024-03-25"/>
    <x v="11"/>
    <x v="2"/>
    <s v="App"/>
    <s v="Shoes"/>
    <s v="S"/>
    <n v="4"/>
    <s v="high"/>
    <n v="4868"/>
    <x v="2"/>
    <s v="Delhi"/>
  </r>
  <r>
    <n v="100"/>
    <s v="ORD00100"/>
    <s v="CUST00100"/>
    <x v="1"/>
    <n v="42"/>
    <x v="1"/>
    <s v="2024-09-13"/>
    <x v="3"/>
    <x v="2"/>
    <s v="Online"/>
    <s v="Accessories"/>
    <s v="XL"/>
    <n v="1"/>
    <s v="low"/>
    <n v="2253"/>
    <x v="3"/>
    <s v="Maharashtra"/>
  </r>
  <r>
    <n v="101"/>
    <s v="ORD00101"/>
    <s v="CUST00101"/>
    <x v="1"/>
    <n v="48"/>
    <x v="2"/>
    <s v="2024-08-22"/>
    <x v="2"/>
    <x v="1"/>
    <s v="App"/>
    <s v="Clothing"/>
    <s v="M"/>
    <n v="3"/>
    <s v="high"/>
    <n v="8256"/>
    <x v="0"/>
    <s v="Maharashtra"/>
  </r>
  <r>
    <n v="102"/>
    <s v="ORD00102"/>
    <s v="CUST00102"/>
    <x v="0"/>
    <n v="24"/>
    <x v="0"/>
    <s v="2024-05-31"/>
    <x v="9"/>
    <x v="1"/>
    <s v="App"/>
    <s v="Electronics"/>
    <s v="S"/>
    <n v="5"/>
    <s v="high"/>
    <n v="11005"/>
    <x v="1"/>
    <s v="Maharashtra"/>
  </r>
  <r>
    <n v="103"/>
    <s v="ORD00103"/>
    <s v="CUST00103"/>
    <x v="1"/>
    <n v="54"/>
    <x v="2"/>
    <s v="2024-02-04"/>
    <x v="1"/>
    <x v="0"/>
    <s v="Online"/>
    <s v="Electronics"/>
    <s v="S"/>
    <n v="1"/>
    <s v="low"/>
    <n v="2324"/>
    <x v="1"/>
    <s v="Maharashtra"/>
  </r>
  <r>
    <n v="104"/>
    <s v="ORD00104"/>
    <s v="CUST00104"/>
    <x v="1"/>
    <n v="22"/>
    <x v="0"/>
    <s v="2024-07-07"/>
    <x v="6"/>
    <x v="1"/>
    <s v="Store"/>
    <s v="Shoes"/>
    <s v="XL"/>
    <n v="2"/>
    <s v="high"/>
    <n v="4030"/>
    <x v="5"/>
    <s v="Karnataka"/>
  </r>
  <r>
    <n v="105"/>
    <s v="ORD00105"/>
    <s v="CUST00105"/>
    <x v="0"/>
    <n v="34"/>
    <x v="1"/>
    <s v="2024-12-28"/>
    <x v="4"/>
    <x v="0"/>
    <s v="Store"/>
    <s v="Clothing"/>
    <s v="S"/>
    <n v="5"/>
    <s v="high"/>
    <n v="5565"/>
    <x v="2"/>
    <s v="Delhi"/>
  </r>
  <r>
    <n v="106"/>
    <s v="ORD00106"/>
    <s v="CUST00106"/>
    <x v="1"/>
    <n v="24"/>
    <x v="0"/>
    <s v="2024-02-08"/>
    <x v="1"/>
    <x v="1"/>
    <s v="App"/>
    <s v="Clothing"/>
    <s v="S"/>
    <n v="4"/>
    <s v="high"/>
    <n v="7716"/>
    <x v="6"/>
    <s v="Tamil Nadu"/>
  </r>
  <r>
    <n v="107"/>
    <s v="ORD00107"/>
    <s v="CUST00107"/>
    <x v="1"/>
    <n v="43"/>
    <x v="1"/>
    <s v="2024-08-24"/>
    <x v="2"/>
    <x v="2"/>
    <s v="App"/>
    <s v="Accessories"/>
    <s v="S"/>
    <n v="5"/>
    <s v="high"/>
    <n v="10580"/>
    <x v="3"/>
    <s v="Maharashtra"/>
  </r>
  <r>
    <n v="108"/>
    <s v="ORD00108"/>
    <s v="CUST00108"/>
    <x v="1"/>
    <n v="55"/>
    <x v="2"/>
    <s v="2024-08-13"/>
    <x v="2"/>
    <x v="1"/>
    <s v="App"/>
    <s v="Electronics"/>
    <s v="M"/>
    <n v="3"/>
    <s v="low"/>
    <n v="1770"/>
    <x v="3"/>
    <s v="Maharashtra"/>
  </r>
  <r>
    <n v="109"/>
    <s v="ORD00109"/>
    <s v="CUST00109"/>
    <x v="1"/>
    <n v="49"/>
    <x v="2"/>
    <s v="2024-07-14"/>
    <x v="6"/>
    <x v="2"/>
    <s v="Store"/>
    <s v="Shoes"/>
    <s v="L"/>
    <n v="1"/>
    <s v="low"/>
    <n v="2048"/>
    <x v="6"/>
    <s v="Tamil Nadu"/>
  </r>
  <r>
    <n v="110"/>
    <s v="ORD00110"/>
    <s v="CUST00110"/>
    <x v="0"/>
    <n v="41"/>
    <x v="1"/>
    <s v="2024-10-30"/>
    <x v="5"/>
    <x v="1"/>
    <s v="Store"/>
    <s v="Electronics"/>
    <s v="L"/>
    <n v="5"/>
    <s v="high"/>
    <n v="13270"/>
    <x v="5"/>
    <s v="Karnataka"/>
  </r>
  <r>
    <n v="111"/>
    <s v="ORD00111"/>
    <s v="CUST00111"/>
    <x v="1"/>
    <n v="60"/>
    <x v="2"/>
    <s v="2024-01-24"/>
    <x v="10"/>
    <x v="0"/>
    <s v="App"/>
    <s v="Electronics"/>
    <s v="S"/>
    <n v="4"/>
    <s v="high"/>
    <n v="8120"/>
    <x v="0"/>
    <s v="Maharashtra"/>
  </r>
  <r>
    <n v="112"/>
    <s v="ORD00112"/>
    <s v="CUST00112"/>
    <x v="0"/>
    <n v="22"/>
    <x v="0"/>
    <s v="2024-04-20"/>
    <x v="0"/>
    <x v="1"/>
    <s v="Store"/>
    <s v="Electronics"/>
    <s v="M"/>
    <n v="4"/>
    <s v="high"/>
    <n v="11708"/>
    <x v="5"/>
    <s v="Karnataka"/>
  </r>
  <r>
    <n v="113"/>
    <s v="ORD00113"/>
    <s v="CUST00113"/>
    <x v="1"/>
    <n v="35"/>
    <x v="1"/>
    <s v="2024-12-29"/>
    <x v="4"/>
    <x v="0"/>
    <s v="Online"/>
    <s v="Clothing"/>
    <s v="S"/>
    <n v="4"/>
    <s v="high"/>
    <n v="9320"/>
    <x v="6"/>
    <s v="Tamil Nadu"/>
  </r>
  <r>
    <n v="114"/>
    <s v="ORD00114"/>
    <s v="CUST00114"/>
    <x v="0"/>
    <n v="47"/>
    <x v="2"/>
    <s v="2024-04-13"/>
    <x v="0"/>
    <x v="2"/>
    <s v="Store"/>
    <s v="Clothing"/>
    <s v="S"/>
    <n v="2"/>
    <s v="high"/>
    <n v="5106"/>
    <x v="6"/>
    <s v="Tamil Nadu"/>
  </r>
  <r>
    <n v="115"/>
    <s v="ORD00115"/>
    <s v="CUST00115"/>
    <x v="0"/>
    <n v="19"/>
    <x v="0"/>
    <s v="2024-02-27"/>
    <x v="1"/>
    <x v="2"/>
    <s v="Online"/>
    <s v="Electronics"/>
    <s v="L"/>
    <n v="3"/>
    <s v="low"/>
    <n v="2544"/>
    <x v="0"/>
    <s v="Maharashtra"/>
  </r>
  <r>
    <n v="116"/>
    <s v="ORD00116"/>
    <s v="CUST00116"/>
    <x v="1"/>
    <n v="42"/>
    <x v="1"/>
    <s v="2024-05-29"/>
    <x v="9"/>
    <x v="1"/>
    <s v="Store"/>
    <s v="Clothing"/>
    <s v="L"/>
    <n v="2"/>
    <s v="high"/>
    <n v="5708"/>
    <x v="2"/>
    <s v="Delhi"/>
  </r>
  <r>
    <n v="117"/>
    <s v="ORD00117"/>
    <s v="CUST00117"/>
    <x v="0"/>
    <n v="32"/>
    <x v="1"/>
    <s v="2024-04-03"/>
    <x v="0"/>
    <x v="0"/>
    <s v="Store"/>
    <s v="Accessories"/>
    <s v="M"/>
    <n v="2"/>
    <s v="low"/>
    <n v="1864"/>
    <x v="6"/>
    <s v="Tamil Nadu"/>
  </r>
  <r>
    <n v="118"/>
    <s v="ORD00118"/>
    <s v="CUST00118"/>
    <x v="1"/>
    <n v="36"/>
    <x v="1"/>
    <s v="2024-05-31"/>
    <x v="9"/>
    <x v="1"/>
    <s v="Online"/>
    <s v="Electronics"/>
    <s v="M"/>
    <n v="1"/>
    <s v="low"/>
    <n v="1060"/>
    <x v="2"/>
    <s v="Delhi"/>
  </r>
  <r>
    <n v="119"/>
    <s v="ORD00119"/>
    <s v="CUST00119"/>
    <x v="0"/>
    <n v="24"/>
    <x v="0"/>
    <s v="2024-04-17"/>
    <x v="0"/>
    <x v="0"/>
    <s v="Store"/>
    <s v="Shoes"/>
    <s v="M"/>
    <n v="3"/>
    <s v="high"/>
    <n v="8385"/>
    <x v="0"/>
    <s v="Maharashtra"/>
  </r>
  <r>
    <n v="120"/>
    <s v="ORD00120"/>
    <s v="CUST00120"/>
    <x v="1"/>
    <n v="33"/>
    <x v="1"/>
    <s v="2024-03-01"/>
    <x v="11"/>
    <x v="2"/>
    <s v="Online"/>
    <s v="Accessories"/>
    <s v="L"/>
    <n v="3"/>
    <s v="high"/>
    <n v="3636"/>
    <x v="3"/>
    <s v="Maharashtra"/>
  </r>
  <r>
    <n v="121"/>
    <s v="ORD00121"/>
    <s v="CUST00121"/>
    <x v="1"/>
    <n v="24"/>
    <x v="0"/>
    <s v="2024-01-12"/>
    <x v="10"/>
    <x v="2"/>
    <s v="App"/>
    <s v="Shoes"/>
    <s v="S"/>
    <n v="4"/>
    <s v="high"/>
    <n v="7432"/>
    <x v="5"/>
    <s v="Karnataka"/>
  </r>
  <r>
    <n v="122"/>
    <s v="ORD00122"/>
    <s v="CUST00122"/>
    <x v="0"/>
    <n v="26"/>
    <x v="1"/>
    <s v="2024-11-04"/>
    <x v="7"/>
    <x v="1"/>
    <s v="App"/>
    <s v="Electronics"/>
    <s v="M"/>
    <n v="5"/>
    <s v="high"/>
    <n v="5030"/>
    <x v="6"/>
    <s v="Tamil Nadu"/>
  </r>
  <r>
    <n v="123"/>
    <s v="ORD00123"/>
    <s v="CUST00123"/>
    <x v="1"/>
    <n v="39"/>
    <x v="1"/>
    <s v="2024-06-18"/>
    <x v="8"/>
    <x v="2"/>
    <s v="Store"/>
    <s v="Clothing"/>
    <s v="XL"/>
    <n v="2"/>
    <s v="high"/>
    <n v="4984"/>
    <x v="4"/>
    <s v="Gujarat"/>
  </r>
  <r>
    <n v="124"/>
    <s v="ORD00124"/>
    <s v="CUST00124"/>
    <x v="0"/>
    <n v="28"/>
    <x v="1"/>
    <s v="2024-05-04"/>
    <x v="9"/>
    <x v="2"/>
    <s v="App"/>
    <s v="Accessories"/>
    <s v="L"/>
    <n v="3"/>
    <s v="high"/>
    <n v="4887"/>
    <x v="0"/>
    <s v="Maharashtra"/>
  </r>
  <r>
    <n v="125"/>
    <s v="ORD00125"/>
    <s v="CUST00125"/>
    <x v="1"/>
    <n v="22"/>
    <x v="0"/>
    <s v="2024-11-20"/>
    <x v="7"/>
    <x v="1"/>
    <s v="Store"/>
    <s v="Clothing"/>
    <s v="S"/>
    <n v="2"/>
    <s v="low"/>
    <n v="2450"/>
    <x v="3"/>
    <s v="Maharashtra"/>
  </r>
  <r>
    <n v="126"/>
    <s v="ORD00126"/>
    <s v="CUST00126"/>
    <x v="0"/>
    <n v="60"/>
    <x v="2"/>
    <s v="2024-05-18"/>
    <x v="9"/>
    <x v="0"/>
    <s v="Online"/>
    <s v="Clothing"/>
    <s v="L"/>
    <n v="3"/>
    <s v="high"/>
    <n v="5670"/>
    <x v="4"/>
    <s v="Gujarat"/>
  </r>
  <r>
    <n v="127"/>
    <s v="ORD00127"/>
    <s v="CUST00127"/>
    <x v="1"/>
    <n v="44"/>
    <x v="1"/>
    <s v="2024-05-30"/>
    <x v="9"/>
    <x v="2"/>
    <s v="Store"/>
    <s v="Clothing"/>
    <s v="S"/>
    <n v="3"/>
    <s v="high"/>
    <n v="4893"/>
    <x v="5"/>
    <s v="Karnataka"/>
  </r>
  <r>
    <n v="128"/>
    <s v="ORD00128"/>
    <s v="CUST00128"/>
    <x v="1"/>
    <n v="57"/>
    <x v="2"/>
    <s v="2024-04-19"/>
    <x v="0"/>
    <x v="2"/>
    <s v="App"/>
    <s v="Electronics"/>
    <s v="XL"/>
    <n v="2"/>
    <s v="high"/>
    <n v="3522"/>
    <x v="6"/>
    <s v="Tamil Nadu"/>
  </r>
  <r>
    <n v="129"/>
    <s v="ORD00129"/>
    <s v="CUST00129"/>
    <x v="1"/>
    <n v="50"/>
    <x v="2"/>
    <s v="2024-09-23"/>
    <x v="3"/>
    <x v="1"/>
    <s v="Store"/>
    <s v="Shoes"/>
    <s v="M"/>
    <n v="1"/>
    <s v="low"/>
    <n v="2095"/>
    <x v="2"/>
    <s v="Delhi"/>
  </r>
  <r>
    <n v="130"/>
    <s v="ORD00130"/>
    <s v="CUST00130"/>
    <x v="0"/>
    <n v="44"/>
    <x v="1"/>
    <s v="2024-06-28"/>
    <x v="8"/>
    <x v="1"/>
    <s v="Store"/>
    <s v="Electronics"/>
    <s v="L"/>
    <n v="4"/>
    <s v="high"/>
    <n v="8080"/>
    <x v="1"/>
    <s v="Maharashtra"/>
  </r>
  <r>
    <n v="131"/>
    <s v="ORD00131"/>
    <s v="CUST00131"/>
    <x v="1"/>
    <n v="22"/>
    <x v="0"/>
    <s v="2024-05-07"/>
    <x v="9"/>
    <x v="2"/>
    <s v="Online"/>
    <s v="Accessories"/>
    <s v="M"/>
    <n v="5"/>
    <s v="high"/>
    <n v="7485"/>
    <x v="4"/>
    <s v="Gujarat"/>
  </r>
  <r>
    <n v="132"/>
    <s v="ORD00132"/>
    <s v="CUST00132"/>
    <x v="0"/>
    <n v="42"/>
    <x v="1"/>
    <s v="2024-01-14"/>
    <x v="10"/>
    <x v="0"/>
    <s v="Store"/>
    <s v="Electronics"/>
    <s v="M"/>
    <n v="5"/>
    <s v="high"/>
    <n v="9440"/>
    <x v="5"/>
    <s v="Karnataka"/>
  </r>
  <r>
    <n v="133"/>
    <s v="ORD00133"/>
    <s v="CUST00133"/>
    <x v="0"/>
    <n v="28"/>
    <x v="1"/>
    <s v="2024-11-14"/>
    <x v="7"/>
    <x v="1"/>
    <s v="App"/>
    <s v="Shoes"/>
    <s v="XL"/>
    <n v="5"/>
    <s v="high"/>
    <n v="8990"/>
    <x v="5"/>
    <s v="Karnataka"/>
  </r>
  <r>
    <n v="134"/>
    <s v="ORD00134"/>
    <s v="CUST00134"/>
    <x v="1"/>
    <n v="53"/>
    <x v="2"/>
    <s v="2024-06-09"/>
    <x v="8"/>
    <x v="0"/>
    <s v="App"/>
    <s v="Shoes"/>
    <s v="M"/>
    <n v="2"/>
    <s v="high"/>
    <n v="5740"/>
    <x v="4"/>
    <s v="Gujarat"/>
  </r>
  <r>
    <n v="135"/>
    <s v="ORD00135"/>
    <s v="CUST00135"/>
    <x v="1"/>
    <n v="37"/>
    <x v="1"/>
    <s v="2024-06-15"/>
    <x v="8"/>
    <x v="0"/>
    <s v="Online"/>
    <s v="Accessories"/>
    <s v="M"/>
    <n v="5"/>
    <s v="high"/>
    <n v="6665"/>
    <x v="0"/>
    <s v="Maharashtra"/>
  </r>
  <r>
    <n v="136"/>
    <s v="ORD00136"/>
    <s v="CUST00136"/>
    <x v="0"/>
    <n v="40"/>
    <x v="1"/>
    <s v="2024-06-30"/>
    <x v="8"/>
    <x v="2"/>
    <s v="App"/>
    <s v="Clothing"/>
    <s v="S"/>
    <n v="5"/>
    <s v="high"/>
    <n v="12190"/>
    <x v="2"/>
    <s v="Delhi"/>
  </r>
  <r>
    <n v="137"/>
    <s v="ORD00137"/>
    <s v="CUST00137"/>
    <x v="1"/>
    <n v="19"/>
    <x v="0"/>
    <s v="2024-03-22"/>
    <x v="11"/>
    <x v="1"/>
    <s v="Store"/>
    <s v="Electronics"/>
    <s v="S"/>
    <n v="4"/>
    <s v="high"/>
    <n v="11968"/>
    <x v="4"/>
    <s v="Gujarat"/>
  </r>
  <r>
    <n v="138"/>
    <s v="ORD00138"/>
    <s v="CUST00138"/>
    <x v="0"/>
    <n v="44"/>
    <x v="1"/>
    <s v="2024-11-09"/>
    <x v="7"/>
    <x v="1"/>
    <s v="Online"/>
    <s v="Shoes"/>
    <s v="L"/>
    <n v="1"/>
    <s v="low"/>
    <n v="867"/>
    <x v="3"/>
    <s v="Maharashtra"/>
  </r>
  <r>
    <n v="139"/>
    <s v="ORD00139"/>
    <s v="CUST00139"/>
    <x v="0"/>
    <n v="51"/>
    <x v="2"/>
    <s v="2024-12-10"/>
    <x v="4"/>
    <x v="0"/>
    <s v="Store"/>
    <s v="Accessories"/>
    <s v="L"/>
    <n v="4"/>
    <s v="high"/>
    <n v="6464"/>
    <x v="0"/>
    <s v="Maharashtra"/>
  </r>
  <r>
    <n v="140"/>
    <s v="ORD00140"/>
    <s v="CUST00140"/>
    <x v="1"/>
    <n v="27"/>
    <x v="1"/>
    <s v="2024-09-02"/>
    <x v="3"/>
    <x v="2"/>
    <s v="Store"/>
    <s v="Clothing"/>
    <s v="S"/>
    <n v="4"/>
    <s v="high"/>
    <n v="9380"/>
    <x v="7"/>
    <s v="Telangana"/>
  </r>
  <r>
    <n v="141"/>
    <s v="ORD00141"/>
    <s v="CUST00141"/>
    <x v="0"/>
    <n v="25"/>
    <x v="1"/>
    <s v="2024-10-14"/>
    <x v="5"/>
    <x v="2"/>
    <s v="Online"/>
    <s v="Shoes"/>
    <s v="M"/>
    <n v="3"/>
    <s v="high"/>
    <n v="6096"/>
    <x v="4"/>
    <s v="Gujarat"/>
  </r>
  <r>
    <n v="142"/>
    <s v="ORD00142"/>
    <s v="CUST00142"/>
    <x v="0"/>
    <n v="21"/>
    <x v="0"/>
    <s v="2024-09-30"/>
    <x v="3"/>
    <x v="1"/>
    <s v="Store"/>
    <s v="Electronics"/>
    <s v="S"/>
    <n v="4"/>
    <s v="high"/>
    <n v="11104"/>
    <x v="6"/>
    <s v="Tamil Nadu"/>
  </r>
  <r>
    <n v="143"/>
    <s v="ORD00143"/>
    <s v="CUST00143"/>
    <x v="0"/>
    <n v="19"/>
    <x v="0"/>
    <s v="2024-11-19"/>
    <x v="7"/>
    <x v="1"/>
    <s v="App"/>
    <s v="Electronics"/>
    <s v="L"/>
    <n v="4"/>
    <s v="high"/>
    <n v="7548"/>
    <x v="6"/>
    <s v="Tamil Nadu"/>
  </r>
  <r>
    <n v="144"/>
    <s v="ORD00144"/>
    <s v="CUST00144"/>
    <x v="1"/>
    <n v="37"/>
    <x v="1"/>
    <s v="2024-04-08"/>
    <x v="0"/>
    <x v="1"/>
    <s v="App"/>
    <s v="Clothing"/>
    <s v="M"/>
    <n v="3"/>
    <s v="low"/>
    <n v="2676"/>
    <x v="6"/>
    <s v="Tamil Nadu"/>
  </r>
  <r>
    <n v="145"/>
    <s v="ORD00145"/>
    <s v="CUST00145"/>
    <x v="1"/>
    <n v="39"/>
    <x v="1"/>
    <s v="2024-11-05"/>
    <x v="7"/>
    <x v="2"/>
    <s v="Store"/>
    <s v="Shoes"/>
    <s v="M"/>
    <n v="5"/>
    <s v="high"/>
    <n v="12305"/>
    <x v="0"/>
    <s v="Maharashtra"/>
  </r>
  <r>
    <n v="146"/>
    <s v="ORD00146"/>
    <s v="CUST00146"/>
    <x v="0"/>
    <n v="23"/>
    <x v="0"/>
    <s v="2024-03-05"/>
    <x v="11"/>
    <x v="1"/>
    <s v="App"/>
    <s v="Accessories"/>
    <s v="XL"/>
    <n v="4"/>
    <s v="high"/>
    <n v="7764"/>
    <x v="0"/>
    <s v="Maharashtra"/>
  </r>
  <r>
    <n v="147"/>
    <s v="ORD00147"/>
    <s v="CUST00147"/>
    <x v="0"/>
    <n v="33"/>
    <x v="1"/>
    <s v="2024-05-25"/>
    <x v="9"/>
    <x v="1"/>
    <s v="Store"/>
    <s v="Clothing"/>
    <s v="XL"/>
    <n v="2"/>
    <s v="low"/>
    <n v="2934"/>
    <x v="1"/>
    <s v="Maharashtra"/>
  </r>
  <r>
    <n v="148"/>
    <s v="ORD00148"/>
    <s v="CUST00148"/>
    <x v="1"/>
    <n v="37"/>
    <x v="1"/>
    <s v="2024-01-10"/>
    <x v="10"/>
    <x v="2"/>
    <s v="Online"/>
    <s v="Clothing"/>
    <s v="XL"/>
    <n v="1"/>
    <s v="low"/>
    <n v="2936"/>
    <x v="6"/>
    <s v="Tamil Nadu"/>
  </r>
  <r>
    <n v="149"/>
    <s v="ORD00149"/>
    <s v="CUST00149"/>
    <x v="1"/>
    <n v="34"/>
    <x v="1"/>
    <s v="2024-10-12"/>
    <x v="5"/>
    <x v="2"/>
    <s v="App"/>
    <s v="Electronics"/>
    <s v="M"/>
    <n v="3"/>
    <s v="high"/>
    <n v="4149"/>
    <x v="1"/>
    <s v="Maharashtra"/>
  </r>
  <r>
    <n v="150"/>
    <s v="ORD00150"/>
    <s v="CUST00150"/>
    <x v="1"/>
    <n v="29"/>
    <x v="1"/>
    <s v="2024-04-17"/>
    <x v="0"/>
    <x v="2"/>
    <s v="Store"/>
    <s v="Clothing"/>
    <s v="M"/>
    <n v="4"/>
    <s v="high"/>
    <n v="5560"/>
    <x v="1"/>
    <s v="Maharashtra"/>
  </r>
  <r>
    <n v="151"/>
    <s v="ORD00151"/>
    <s v="CUST00151"/>
    <x v="1"/>
    <n v="38"/>
    <x v="1"/>
    <s v="2024-10-17"/>
    <x v="5"/>
    <x v="1"/>
    <s v="App"/>
    <s v="Clothing"/>
    <s v="S"/>
    <n v="2"/>
    <s v="high"/>
    <n v="4424"/>
    <x v="0"/>
    <s v="Maharashtra"/>
  </r>
  <r>
    <n v="152"/>
    <s v="ORD00152"/>
    <s v="CUST00152"/>
    <x v="1"/>
    <n v="24"/>
    <x v="0"/>
    <s v="2024-08-26"/>
    <x v="2"/>
    <x v="2"/>
    <s v="Online"/>
    <s v="Accessories"/>
    <s v="XL"/>
    <n v="3"/>
    <s v="high"/>
    <n v="6702"/>
    <x v="1"/>
    <s v="Maharashtra"/>
  </r>
  <r>
    <n v="153"/>
    <s v="ORD00153"/>
    <s v="CUST00153"/>
    <x v="1"/>
    <n v="58"/>
    <x v="2"/>
    <s v="2024-05-15"/>
    <x v="9"/>
    <x v="0"/>
    <s v="Online"/>
    <s v="Shoes"/>
    <s v="XL"/>
    <n v="1"/>
    <s v="low"/>
    <n v="653"/>
    <x v="0"/>
    <s v="Maharashtra"/>
  </r>
  <r>
    <n v="154"/>
    <s v="ORD00154"/>
    <s v="CUST00154"/>
    <x v="0"/>
    <n v="57"/>
    <x v="2"/>
    <s v="2024-08-01"/>
    <x v="2"/>
    <x v="2"/>
    <s v="Online"/>
    <s v="Clothing"/>
    <s v="XL"/>
    <n v="3"/>
    <s v="high"/>
    <n v="8973"/>
    <x v="3"/>
    <s v="Maharashtra"/>
  </r>
  <r>
    <n v="155"/>
    <s v="ORD00155"/>
    <s v="CUST00155"/>
    <x v="0"/>
    <n v="31"/>
    <x v="1"/>
    <s v="2024-08-11"/>
    <x v="2"/>
    <x v="2"/>
    <s v="Online"/>
    <s v="Electronics"/>
    <s v="M"/>
    <n v="3"/>
    <s v="high"/>
    <n v="3117"/>
    <x v="4"/>
    <s v="Gujarat"/>
  </r>
  <r>
    <n v="156"/>
    <s v="ORD00156"/>
    <s v="CUST00156"/>
    <x v="0"/>
    <n v="42"/>
    <x v="1"/>
    <s v="2024-10-09"/>
    <x v="5"/>
    <x v="2"/>
    <s v="Store"/>
    <s v="Shoes"/>
    <s v="L"/>
    <n v="1"/>
    <s v="low"/>
    <n v="1103"/>
    <x v="2"/>
    <s v="Delhi"/>
  </r>
  <r>
    <n v="157"/>
    <s v="ORD00157"/>
    <s v="CUST00157"/>
    <x v="1"/>
    <n v="32"/>
    <x v="1"/>
    <s v="2024-04-09"/>
    <x v="0"/>
    <x v="2"/>
    <s v="Online"/>
    <s v="Clothing"/>
    <s v="L"/>
    <n v="4"/>
    <s v="high"/>
    <n v="7888"/>
    <x v="4"/>
    <s v="Gujarat"/>
  </r>
  <r>
    <n v="158"/>
    <s v="ORD00158"/>
    <s v="CUST00158"/>
    <x v="1"/>
    <n v="59"/>
    <x v="2"/>
    <s v="2024-08-29"/>
    <x v="2"/>
    <x v="0"/>
    <s v="Online"/>
    <s v="Accessories"/>
    <s v="XL"/>
    <n v="4"/>
    <s v="high"/>
    <n v="6172"/>
    <x v="7"/>
    <s v="Telangana"/>
  </r>
  <r>
    <n v="159"/>
    <s v="ORD00159"/>
    <s v="CUST00159"/>
    <x v="1"/>
    <n v="44"/>
    <x v="1"/>
    <s v="2024-12-31"/>
    <x v="4"/>
    <x v="1"/>
    <s v="Store"/>
    <s v="Electronics"/>
    <s v="M"/>
    <n v="5"/>
    <s v="high"/>
    <n v="10830"/>
    <x v="3"/>
    <s v="Maharashtra"/>
  </r>
  <r>
    <n v="160"/>
    <s v="ORD00160"/>
    <s v="CUST00160"/>
    <x v="0"/>
    <n v="19"/>
    <x v="0"/>
    <s v="2024-04-30"/>
    <x v="0"/>
    <x v="0"/>
    <s v="Online"/>
    <s v="Accessories"/>
    <s v="XL"/>
    <n v="4"/>
    <s v="low"/>
    <n v="2352"/>
    <x v="2"/>
    <s v="Delhi"/>
  </r>
  <r>
    <n v="161"/>
    <s v="ORD00161"/>
    <s v="CUST00161"/>
    <x v="0"/>
    <n v="19"/>
    <x v="0"/>
    <s v="2024-10-31"/>
    <x v="5"/>
    <x v="0"/>
    <s v="Store"/>
    <s v="Electronics"/>
    <s v="S"/>
    <n v="1"/>
    <s v="low"/>
    <n v="2122"/>
    <x v="3"/>
    <s v="Maharashtra"/>
  </r>
  <r>
    <n v="162"/>
    <s v="ORD00162"/>
    <s v="CUST00162"/>
    <x v="0"/>
    <n v="40"/>
    <x v="1"/>
    <s v="2024-03-22"/>
    <x v="11"/>
    <x v="1"/>
    <s v="Online"/>
    <s v="Clothing"/>
    <s v="S"/>
    <n v="3"/>
    <s v="high"/>
    <n v="5652"/>
    <x v="5"/>
    <s v="Karnataka"/>
  </r>
  <r>
    <n v="163"/>
    <s v="ORD00163"/>
    <s v="CUST00163"/>
    <x v="1"/>
    <n v="31"/>
    <x v="1"/>
    <s v="2024-01-21"/>
    <x v="10"/>
    <x v="0"/>
    <s v="App"/>
    <s v="Clothing"/>
    <s v="XL"/>
    <n v="5"/>
    <s v="high"/>
    <n v="4520"/>
    <x v="2"/>
    <s v="Delhi"/>
  </r>
  <r>
    <n v="164"/>
    <s v="ORD00164"/>
    <s v="CUST00164"/>
    <x v="0"/>
    <n v="49"/>
    <x v="2"/>
    <s v="2024-10-24"/>
    <x v="5"/>
    <x v="1"/>
    <s v="Online"/>
    <s v="Electronics"/>
    <s v="XL"/>
    <n v="4"/>
    <s v="high"/>
    <n v="7096"/>
    <x v="2"/>
    <s v="Delhi"/>
  </r>
  <r>
    <n v="165"/>
    <s v="ORD00165"/>
    <s v="CUST00165"/>
    <x v="1"/>
    <n v="25"/>
    <x v="1"/>
    <s v="2024-02-21"/>
    <x v="1"/>
    <x v="2"/>
    <s v="Online"/>
    <s v="Shoes"/>
    <s v="M"/>
    <n v="4"/>
    <s v="high"/>
    <n v="9232"/>
    <x v="2"/>
    <s v="Delhi"/>
  </r>
  <r>
    <n v="166"/>
    <s v="ORD00166"/>
    <s v="CUST00166"/>
    <x v="0"/>
    <n v="20"/>
    <x v="0"/>
    <s v="2024-06-01"/>
    <x v="8"/>
    <x v="0"/>
    <s v="App"/>
    <s v="Accessories"/>
    <s v="L"/>
    <n v="5"/>
    <s v="high"/>
    <n v="9680"/>
    <x v="4"/>
    <s v="Gujarat"/>
  </r>
  <r>
    <n v="167"/>
    <s v="ORD00167"/>
    <s v="CUST00167"/>
    <x v="1"/>
    <n v="35"/>
    <x v="1"/>
    <s v="2024-07-10"/>
    <x v="6"/>
    <x v="0"/>
    <s v="Store"/>
    <s v="Shoes"/>
    <s v="XL"/>
    <n v="2"/>
    <s v="high"/>
    <n v="3210"/>
    <x v="7"/>
    <s v="Telangana"/>
  </r>
  <r>
    <n v="168"/>
    <s v="ORD00168"/>
    <s v="CUST00168"/>
    <x v="1"/>
    <n v="58"/>
    <x v="2"/>
    <s v="2024-01-25"/>
    <x v="10"/>
    <x v="2"/>
    <s v="Store"/>
    <s v="Electronics"/>
    <s v="L"/>
    <n v="4"/>
    <s v="high"/>
    <n v="3300"/>
    <x v="0"/>
    <s v="Maharashtra"/>
  </r>
  <r>
    <n v="169"/>
    <s v="ORD00169"/>
    <s v="CUST00169"/>
    <x v="0"/>
    <n v="42"/>
    <x v="1"/>
    <s v="2024-02-29"/>
    <x v="1"/>
    <x v="1"/>
    <s v="Online"/>
    <s v="Accessories"/>
    <s v="M"/>
    <n v="1"/>
    <s v="low"/>
    <n v="1339"/>
    <x v="7"/>
    <s v="Telangana"/>
  </r>
  <r>
    <n v="170"/>
    <s v="ORD00170"/>
    <s v="CUST00170"/>
    <x v="1"/>
    <n v="22"/>
    <x v="0"/>
    <s v="2024-11-12"/>
    <x v="7"/>
    <x v="0"/>
    <s v="Online"/>
    <s v="Shoes"/>
    <s v="S"/>
    <n v="1"/>
    <s v="low"/>
    <n v="2273"/>
    <x v="4"/>
    <s v="Gujarat"/>
  </r>
  <r>
    <n v="171"/>
    <s v="ORD00171"/>
    <s v="CUST00171"/>
    <x v="0"/>
    <n v="44"/>
    <x v="1"/>
    <s v="2024-02-27"/>
    <x v="1"/>
    <x v="1"/>
    <s v="Store"/>
    <s v="Clothing"/>
    <s v="XL"/>
    <n v="2"/>
    <s v="high"/>
    <n v="3106"/>
    <x v="6"/>
    <s v="Tamil Nadu"/>
  </r>
  <r>
    <n v="172"/>
    <s v="ORD00172"/>
    <s v="CUST00172"/>
    <x v="0"/>
    <n v="59"/>
    <x v="2"/>
    <s v="2024-03-26"/>
    <x v="11"/>
    <x v="2"/>
    <s v="Online"/>
    <s v="Accessories"/>
    <s v="L"/>
    <n v="2"/>
    <s v="low"/>
    <n v="1102"/>
    <x v="3"/>
    <s v="Maharashtra"/>
  </r>
  <r>
    <n v="173"/>
    <s v="ORD00173"/>
    <s v="CUST00173"/>
    <x v="0"/>
    <n v="46"/>
    <x v="2"/>
    <s v="2024-01-24"/>
    <x v="10"/>
    <x v="0"/>
    <s v="App"/>
    <s v="Accessories"/>
    <s v="M"/>
    <n v="5"/>
    <s v="high"/>
    <n v="5555"/>
    <x v="2"/>
    <s v="Delhi"/>
  </r>
  <r>
    <n v="174"/>
    <s v="ORD00174"/>
    <s v="CUST00174"/>
    <x v="1"/>
    <n v="55"/>
    <x v="2"/>
    <s v="2024-08-14"/>
    <x v="2"/>
    <x v="0"/>
    <s v="Store"/>
    <s v="Clothing"/>
    <s v="S"/>
    <n v="4"/>
    <s v="high"/>
    <n v="11756"/>
    <x v="7"/>
    <s v="Telangana"/>
  </r>
  <r>
    <n v="175"/>
    <s v="ORD00175"/>
    <s v="CUST00175"/>
    <x v="0"/>
    <n v="45"/>
    <x v="1"/>
    <s v="2024-08-09"/>
    <x v="2"/>
    <x v="2"/>
    <s v="Store"/>
    <s v="Electronics"/>
    <s v="XL"/>
    <n v="5"/>
    <s v="high"/>
    <n v="4875"/>
    <x v="3"/>
    <s v="Maharashtra"/>
  </r>
  <r>
    <n v="176"/>
    <s v="ORD00176"/>
    <s v="CUST00176"/>
    <x v="1"/>
    <n v="55"/>
    <x v="2"/>
    <s v="2024-05-17"/>
    <x v="9"/>
    <x v="1"/>
    <s v="App"/>
    <s v="Shoes"/>
    <s v="S"/>
    <n v="3"/>
    <s v="low"/>
    <n v="2727"/>
    <x v="3"/>
    <s v="Maharashtra"/>
  </r>
  <r>
    <n v="177"/>
    <s v="ORD00177"/>
    <s v="CUST00177"/>
    <x v="1"/>
    <n v="56"/>
    <x v="2"/>
    <s v="2024-05-12"/>
    <x v="9"/>
    <x v="0"/>
    <s v="Online"/>
    <s v="Clothing"/>
    <s v="S"/>
    <n v="3"/>
    <s v="high"/>
    <n v="4035"/>
    <x v="1"/>
    <s v="Maharashtra"/>
  </r>
  <r>
    <n v="178"/>
    <s v="ORD00178"/>
    <s v="CUST00178"/>
    <x v="1"/>
    <n v="59"/>
    <x v="2"/>
    <s v="2024-10-15"/>
    <x v="5"/>
    <x v="0"/>
    <s v="Online"/>
    <s v="Shoes"/>
    <s v="XL"/>
    <n v="2"/>
    <s v="high"/>
    <n v="4232"/>
    <x v="7"/>
    <s v="Telangana"/>
  </r>
  <r>
    <n v="179"/>
    <s v="ORD00179"/>
    <s v="CUST00179"/>
    <x v="1"/>
    <n v="40"/>
    <x v="1"/>
    <s v="2024-08-06"/>
    <x v="2"/>
    <x v="0"/>
    <s v="Online"/>
    <s v="Shoes"/>
    <s v="M"/>
    <n v="1"/>
    <s v="low"/>
    <n v="2603"/>
    <x v="6"/>
    <s v="Tamil Nadu"/>
  </r>
  <r>
    <n v="180"/>
    <s v="ORD00180"/>
    <s v="CUST00180"/>
    <x v="0"/>
    <n v="50"/>
    <x v="2"/>
    <s v="2024-12-29"/>
    <x v="4"/>
    <x v="1"/>
    <s v="Online"/>
    <s v="Clothing"/>
    <s v="S"/>
    <n v="2"/>
    <s v="high"/>
    <n v="4822"/>
    <x v="3"/>
    <s v="Maharashtra"/>
  </r>
  <r>
    <n v="181"/>
    <s v="ORD00181"/>
    <s v="CUST00181"/>
    <x v="1"/>
    <n v="53"/>
    <x v="2"/>
    <s v="2024-09-02"/>
    <x v="3"/>
    <x v="2"/>
    <s v="Store"/>
    <s v="Clothing"/>
    <s v="L"/>
    <n v="1"/>
    <s v="low"/>
    <n v="1801"/>
    <x v="6"/>
    <s v="Tamil Nadu"/>
  </r>
  <r>
    <n v="182"/>
    <s v="ORD00182"/>
    <s v="CUST00182"/>
    <x v="1"/>
    <n v="41"/>
    <x v="1"/>
    <s v="2024-12-14"/>
    <x v="4"/>
    <x v="1"/>
    <s v="App"/>
    <s v="Accessories"/>
    <s v="L"/>
    <n v="3"/>
    <s v="low"/>
    <n v="2460"/>
    <x v="7"/>
    <s v="Telangana"/>
  </r>
  <r>
    <n v="183"/>
    <s v="ORD00183"/>
    <s v="CUST00183"/>
    <x v="1"/>
    <n v="42"/>
    <x v="1"/>
    <s v="2024-11-29"/>
    <x v="7"/>
    <x v="1"/>
    <s v="App"/>
    <s v="Electronics"/>
    <s v="L"/>
    <n v="3"/>
    <s v="low"/>
    <n v="1683"/>
    <x v="3"/>
    <s v="Maharashtra"/>
  </r>
  <r>
    <n v="184"/>
    <s v="ORD00184"/>
    <s v="CUST00184"/>
    <x v="0"/>
    <n v="22"/>
    <x v="0"/>
    <s v="2024-08-26"/>
    <x v="2"/>
    <x v="1"/>
    <s v="Online"/>
    <s v="Clothing"/>
    <s v="M"/>
    <n v="3"/>
    <s v="high"/>
    <n v="6315"/>
    <x v="2"/>
    <s v="Delhi"/>
  </r>
  <r>
    <n v="185"/>
    <s v="ORD00185"/>
    <s v="CUST00185"/>
    <x v="0"/>
    <n v="56"/>
    <x v="2"/>
    <s v="2024-07-29"/>
    <x v="6"/>
    <x v="1"/>
    <s v="App"/>
    <s v="Shoes"/>
    <s v="M"/>
    <n v="5"/>
    <s v="high"/>
    <n v="14480"/>
    <x v="5"/>
    <s v="Karnataka"/>
  </r>
  <r>
    <n v="186"/>
    <s v="ORD00186"/>
    <s v="CUST00186"/>
    <x v="1"/>
    <n v="43"/>
    <x v="1"/>
    <s v="2024-12-02"/>
    <x v="4"/>
    <x v="2"/>
    <s v="Store"/>
    <s v="Shoes"/>
    <s v="XL"/>
    <n v="5"/>
    <s v="high"/>
    <n v="7345"/>
    <x v="7"/>
    <s v="Telangana"/>
  </r>
  <r>
    <n v="187"/>
    <s v="ORD00187"/>
    <s v="CUST00187"/>
    <x v="1"/>
    <n v="43"/>
    <x v="1"/>
    <s v="2024-11-03"/>
    <x v="7"/>
    <x v="1"/>
    <s v="Store"/>
    <s v="Shoes"/>
    <s v="L"/>
    <n v="5"/>
    <s v="high"/>
    <n v="11865"/>
    <x v="4"/>
    <s v="Gujarat"/>
  </r>
  <r>
    <n v="188"/>
    <s v="ORD00188"/>
    <s v="CUST00188"/>
    <x v="1"/>
    <n v="53"/>
    <x v="2"/>
    <s v="2024-06-09"/>
    <x v="8"/>
    <x v="0"/>
    <s v="Online"/>
    <s v="Shoes"/>
    <s v="L"/>
    <n v="2"/>
    <s v="high"/>
    <n v="4810"/>
    <x v="1"/>
    <s v="Maharashtra"/>
  </r>
  <r>
    <n v="189"/>
    <s v="ORD00189"/>
    <s v="CUST00189"/>
    <x v="0"/>
    <n v="52"/>
    <x v="2"/>
    <s v="2024-11-09"/>
    <x v="7"/>
    <x v="1"/>
    <s v="Online"/>
    <s v="Shoes"/>
    <s v="L"/>
    <n v="1"/>
    <s v="low"/>
    <n v="1222"/>
    <x v="6"/>
    <s v="Tamil Nadu"/>
  </r>
  <r>
    <n v="190"/>
    <s v="ORD00190"/>
    <s v="CUST00190"/>
    <x v="0"/>
    <n v="48"/>
    <x v="2"/>
    <s v="2024-11-05"/>
    <x v="7"/>
    <x v="0"/>
    <s v="Online"/>
    <s v="Accessories"/>
    <s v="S"/>
    <n v="2"/>
    <s v="high"/>
    <n v="5714"/>
    <x v="7"/>
    <s v="Telangana"/>
  </r>
  <r>
    <n v="191"/>
    <s v="ORD00191"/>
    <s v="CUST00191"/>
    <x v="1"/>
    <n v="45"/>
    <x v="1"/>
    <s v="2024-04-16"/>
    <x v="0"/>
    <x v="1"/>
    <s v="App"/>
    <s v="Shoes"/>
    <s v="S"/>
    <n v="3"/>
    <s v="low"/>
    <n v="2499"/>
    <x v="6"/>
    <s v="Tamil Nadu"/>
  </r>
  <r>
    <n v="192"/>
    <s v="ORD00192"/>
    <s v="CUST00192"/>
    <x v="0"/>
    <n v="31"/>
    <x v="1"/>
    <s v="2024-03-16"/>
    <x v="11"/>
    <x v="1"/>
    <s v="Online"/>
    <s v="Clothing"/>
    <s v="L"/>
    <n v="5"/>
    <s v="high"/>
    <n v="8010"/>
    <x v="1"/>
    <s v="Maharashtra"/>
  </r>
  <r>
    <n v="193"/>
    <s v="ORD00193"/>
    <s v="CUST00193"/>
    <x v="1"/>
    <n v="59"/>
    <x v="2"/>
    <s v="2024-09-23"/>
    <x v="3"/>
    <x v="1"/>
    <s v="Online"/>
    <s v="Shoes"/>
    <s v="XL"/>
    <n v="4"/>
    <s v="high"/>
    <n v="5580"/>
    <x v="1"/>
    <s v="Maharashtra"/>
  </r>
  <r>
    <n v="194"/>
    <s v="ORD00194"/>
    <s v="CUST00194"/>
    <x v="0"/>
    <n v="55"/>
    <x v="2"/>
    <s v="2024-10-21"/>
    <x v="5"/>
    <x v="1"/>
    <s v="Online"/>
    <s v="Accessories"/>
    <s v="XL"/>
    <n v="5"/>
    <s v="high"/>
    <n v="8855"/>
    <x v="7"/>
    <s v="Telangana"/>
  </r>
  <r>
    <n v="195"/>
    <s v="ORD00195"/>
    <s v="CUST00195"/>
    <x v="1"/>
    <n v="47"/>
    <x v="2"/>
    <s v="2024-05-08"/>
    <x v="9"/>
    <x v="2"/>
    <s v="Store"/>
    <s v="Accessories"/>
    <s v="M"/>
    <n v="3"/>
    <s v="high"/>
    <n v="5748"/>
    <x v="2"/>
    <s v="Delhi"/>
  </r>
  <r>
    <n v="196"/>
    <s v="ORD00196"/>
    <s v="CUST00196"/>
    <x v="1"/>
    <n v="42"/>
    <x v="1"/>
    <s v="2024-07-18"/>
    <x v="6"/>
    <x v="0"/>
    <s v="Store"/>
    <s v="Shoes"/>
    <s v="M"/>
    <n v="3"/>
    <s v="high"/>
    <n v="5889"/>
    <x v="6"/>
    <s v="Tamil Nadu"/>
  </r>
  <r>
    <n v="197"/>
    <s v="ORD00197"/>
    <s v="CUST00197"/>
    <x v="1"/>
    <n v="46"/>
    <x v="2"/>
    <s v="2024-04-22"/>
    <x v="0"/>
    <x v="2"/>
    <s v="Online"/>
    <s v="Clothing"/>
    <s v="L"/>
    <n v="5"/>
    <s v="high"/>
    <n v="9655"/>
    <x v="7"/>
    <s v="Telangana"/>
  </r>
  <r>
    <n v="198"/>
    <s v="ORD00198"/>
    <s v="CUST00198"/>
    <x v="0"/>
    <n v="51"/>
    <x v="2"/>
    <s v="2024-07-27"/>
    <x v="6"/>
    <x v="0"/>
    <s v="App"/>
    <s v="Shoes"/>
    <s v="M"/>
    <n v="5"/>
    <s v="high"/>
    <n v="6965"/>
    <x v="1"/>
    <s v="Maharashtra"/>
  </r>
  <r>
    <n v="199"/>
    <s v="ORD00199"/>
    <s v="CUST00199"/>
    <x v="0"/>
    <n v="46"/>
    <x v="2"/>
    <s v="2024-02-01"/>
    <x v="1"/>
    <x v="2"/>
    <s v="Online"/>
    <s v="Shoes"/>
    <s v="S"/>
    <n v="2"/>
    <s v="high"/>
    <n v="5786"/>
    <x v="3"/>
    <s v="Maharashtra"/>
  </r>
  <r>
    <n v="200"/>
    <s v="ORD00200"/>
    <s v="CUST00200"/>
    <x v="1"/>
    <n v="41"/>
    <x v="1"/>
    <s v="2024-09-02"/>
    <x v="3"/>
    <x v="1"/>
    <s v="Store"/>
    <s v="Accessories"/>
    <s v="S"/>
    <n v="1"/>
    <s v="low"/>
    <n v="1733"/>
    <x v="6"/>
    <s v="Tamil Nadu"/>
  </r>
  <r>
    <n v="201"/>
    <s v="ORD00201"/>
    <s v="CUST00201"/>
    <x v="1"/>
    <n v="27"/>
    <x v="1"/>
    <s v="2024-02-06"/>
    <x v="1"/>
    <x v="2"/>
    <s v="Store"/>
    <s v="Shoes"/>
    <s v="XL"/>
    <n v="1"/>
    <s v="low"/>
    <n v="2624"/>
    <x v="7"/>
    <s v="Telangana"/>
  </r>
  <r>
    <n v="202"/>
    <s v="ORD00202"/>
    <s v="CUST00202"/>
    <x v="1"/>
    <n v="35"/>
    <x v="1"/>
    <s v="2024-06-10"/>
    <x v="8"/>
    <x v="2"/>
    <s v="App"/>
    <s v="Electronics"/>
    <s v="S"/>
    <n v="3"/>
    <s v="high"/>
    <n v="6669"/>
    <x v="6"/>
    <s v="Tamil Nadu"/>
  </r>
  <r>
    <n v="203"/>
    <s v="ORD00203"/>
    <s v="CUST00203"/>
    <x v="0"/>
    <n v="39"/>
    <x v="1"/>
    <s v="2024-07-13"/>
    <x v="6"/>
    <x v="0"/>
    <s v="App"/>
    <s v="Electronics"/>
    <s v="S"/>
    <n v="4"/>
    <s v="high"/>
    <n v="4468"/>
    <x v="4"/>
    <s v="Gujarat"/>
  </r>
  <r>
    <n v="204"/>
    <s v="ORD00204"/>
    <s v="CUST00204"/>
    <x v="0"/>
    <n v="29"/>
    <x v="1"/>
    <s v="2024-09-26"/>
    <x v="3"/>
    <x v="1"/>
    <s v="Online"/>
    <s v="Clothing"/>
    <s v="M"/>
    <n v="2"/>
    <s v="low"/>
    <n v="1170"/>
    <x v="2"/>
    <s v="Delhi"/>
  </r>
  <r>
    <n v="205"/>
    <s v="ORD00205"/>
    <s v="CUST00205"/>
    <x v="1"/>
    <n v="21"/>
    <x v="0"/>
    <s v="2024-07-08"/>
    <x v="6"/>
    <x v="2"/>
    <s v="App"/>
    <s v="Shoes"/>
    <s v="L"/>
    <n v="4"/>
    <s v="high"/>
    <n v="4356"/>
    <x v="1"/>
    <s v="Maharashtra"/>
  </r>
  <r>
    <n v="206"/>
    <s v="ORD00206"/>
    <s v="CUST00206"/>
    <x v="0"/>
    <n v="24"/>
    <x v="0"/>
    <s v="2024-09-13"/>
    <x v="3"/>
    <x v="2"/>
    <s v="App"/>
    <s v="Clothing"/>
    <s v="L"/>
    <n v="1"/>
    <s v="low"/>
    <n v="2274"/>
    <x v="2"/>
    <s v="Delhi"/>
  </r>
  <r>
    <n v="207"/>
    <s v="ORD00207"/>
    <s v="CUST00207"/>
    <x v="0"/>
    <n v="28"/>
    <x v="1"/>
    <s v="2024-11-26"/>
    <x v="7"/>
    <x v="0"/>
    <s v="App"/>
    <s v="Electronics"/>
    <s v="L"/>
    <n v="5"/>
    <s v="high"/>
    <n v="10685"/>
    <x v="3"/>
    <s v="Maharashtra"/>
  </r>
  <r>
    <n v="208"/>
    <s v="ORD00208"/>
    <s v="CUST00208"/>
    <x v="0"/>
    <n v="45"/>
    <x v="1"/>
    <s v="2024-09-30"/>
    <x v="3"/>
    <x v="2"/>
    <s v="Store"/>
    <s v="Shoes"/>
    <s v="S"/>
    <n v="1"/>
    <s v="low"/>
    <n v="1785"/>
    <x v="5"/>
    <s v="Karnataka"/>
  </r>
  <r>
    <n v="209"/>
    <s v="ORD00209"/>
    <s v="CUST00209"/>
    <x v="0"/>
    <n v="29"/>
    <x v="1"/>
    <s v="2024-04-11"/>
    <x v="0"/>
    <x v="1"/>
    <s v="App"/>
    <s v="Electronics"/>
    <s v="M"/>
    <n v="2"/>
    <s v="high"/>
    <n v="5790"/>
    <x v="2"/>
    <s v="Delhi"/>
  </r>
  <r>
    <n v="210"/>
    <s v="ORD00210"/>
    <s v="CUST00210"/>
    <x v="0"/>
    <n v="45"/>
    <x v="1"/>
    <s v="2024-06-04"/>
    <x v="8"/>
    <x v="0"/>
    <s v="Online"/>
    <s v="Shoes"/>
    <s v="XL"/>
    <n v="3"/>
    <s v="low"/>
    <n v="1524"/>
    <x v="2"/>
    <s v="Delhi"/>
  </r>
  <r>
    <n v="211"/>
    <s v="ORD00211"/>
    <s v="CUST00211"/>
    <x v="0"/>
    <n v="33"/>
    <x v="1"/>
    <s v="2024-08-23"/>
    <x v="2"/>
    <x v="1"/>
    <s v="Online"/>
    <s v="Accessories"/>
    <s v="M"/>
    <n v="3"/>
    <s v="high"/>
    <n v="5550"/>
    <x v="7"/>
    <s v="Telangana"/>
  </r>
  <r>
    <n v="212"/>
    <s v="ORD00212"/>
    <s v="CUST00212"/>
    <x v="1"/>
    <n v="24"/>
    <x v="0"/>
    <s v="2024-01-03"/>
    <x v="10"/>
    <x v="0"/>
    <s v="Store"/>
    <s v="Accessories"/>
    <s v="XL"/>
    <n v="2"/>
    <s v="high"/>
    <n v="4444"/>
    <x v="7"/>
    <s v="Telangana"/>
  </r>
  <r>
    <n v="213"/>
    <s v="ORD00213"/>
    <s v="CUST00213"/>
    <x v="0"/>
    <n v="48"/>
    <x v="2"/>
    <s v="2024-04-27"/>
    <x v="0"/>
    <x v="0"/>
    <s v="Store"/>
    <s v="Shoes"/>
    <s v="M"/>
    <n v="1"/>
    <s v="low"/>
    <n v="2005"/>
    <x v="3"/>
    <s v="Maharashtra"/>
  </r>
  <r>
    <n v="214"/>
    <s v="ORD00214"/>
    <s v="CUST00214"/>
    <x v="1"/>
    <n v="22"/>
    <x v="0"/>
    <s v="2024-11-25"/>
    <x v="7"/>
    <x v="0"/>
    <s v="Online"/>
    <s v="Electronics"/>
    <s v="L"/>
    <n v="5"/>
    <s v="high"/>
    <n v="11710"/>
    <x v="0"/>
    <s v="Maharashtra"/>
  </r>
  <r>
    <n v="215"/>
    <s v="ORD00215"/>
    <s v="CUST00215"/>
    <x v="0"/>
    <n v="38"/>
    <x v="1"/>
    <s v="2024-10-07"/>
    <x v="5"/>
    <x v="2"/>
    <s v="App"/>
    <s v="Shoes"/>
    <s v="S"/>
    <n v="1"/>
    <s v="low"/>
    <n v="1524"/>
    <x v="4"/>
    <s v="Gujarat"/>
  </r>
  <r>
    <n v="216"/>
    <s v="ORD00216"/>
    <s v="CUST00216"/>
    <x v="1"/>
    <n v="34"/>
    <x v="1"/>
    <s v="2024-08-09"/>
    <x v="2"/>
    <x v="0"/>
    <s v="Store"/>
    <s v="Clothing"/>
    <s v="M"/>
    <n v="3"/>
    <s v="low"/>
    <n v="1509"/>
    <x v="5"/>
    <s v="Karnataka"/>
  </r>
  <r>
    <n v="217"/>
    <s v="ORD00217"/>
    <s v="CUST00217"/>
    <x v="1"/>
    <n v="23"/>
    <x v="0"/>
    <s v="2024-04-02"/>
    <x v="0"/>
    <x v="0"/>
    <s v="App"/>
    <s v="Shoes"/>
    <s v="L"/>
    <n v="1"/>
    <s v="low"/>
    <n v="1212"/>
    <x v="0"/>
    <s v="Maharashtra"/>
  </r>
  <r>
    <n v="218"/>
    <s v="ORD00218"/>
    <s v="CUST00218"/>
    <x v="0"/>
    <n v="42"/>
    <x v="1"/>
    <s v="2024-01-03"/>
    <x v="10"/>
    <x v="2"/>
    <s v="Store"/>
    <s v="Electronics"/>
    <s v="XL"/>
    <n v="5"/>
    <s v="high"/>
    <n v="4810"/>
    <x v="3"/>
    <s v="Maharashtra"/>
  </r>
  <r>
    <n v="219"/>
    <s v="ORD00219"/>
    <s v="CUST00219"/>
    <x v="0"/>
    <n v="37"/>
    <x v="1"/>
    <s v="2024-08-18"/>
    <x v="2"/>
    <x v="0"/>
    <s v="Store"/>
    <s v="Shoes"/>
    <s v="M"/>
    <n v="5"/>
    <s v="high"/>
    <n v="12020"/>
    <x v="0"/>
    <s v="Maharashtra"/>
  </r>
  <r>
    <n v="220"/>
    <s v="ORD00220"/>
    <s v="CUST00220"/>
    <x v="1"/>
    <n v="54"/>
    <x v="2"/>
    <s v="2024-05-08"/>
    <x v="9"/>
    <x v="0"/>
    <s v="Store"/>
    <s v="Accessories"/>
    <s v="L"/>
    <n v="3"/>
    <s v="high"/>
    <n v="3228"/>
    <x v="4"/>
    <s v="Gujarat"/>
  </r>
  <r>
    <n v="221"/>
    <s v="ORD00221"/>
    <s v="CUST00221"/>
    <x v="0"/>
    <n v="20"/>
    <x v="0"/>
    <s v="2024-04-09"/>
    <x v="0"/>
    <x v="2"/>
    <s v="Online"/>
    <s v="Electronics"/>
    <s v="XL"/>
    <n v="1"/>
    <s v="low"/>
    <n v="2998"/>
    <x v="7"/>
    <s v="Telangana"/>
  </r>
  <r>
    <n v="222"/>
    <s v="ORD00222"/>
    <s v="CUST00222"/>
    <x v="0"/>
    <n v="37"/>
    <x v="1"/>
    <s v="2024-04-30"/>
    <x v="0"/>
    <x v="1"/>
    <s v="Store"/>
    <s v="Clothing"/>
    <s v="S"/>
    <n v="2"/>
    <s v="low"/>
    <n v="1948"/>
    <x v="2"/>
    <s v="Delhi"/>
  </r>
  <r>
    <n v="223"/>
    <s v="ORD00223"/>
    <s v="CUST00223"/>
    <x v="0"/>
    <n v="27"/>
    <x v="1"/>
    <s v="2024-06-21"/>
    <x v="8"/>
    <x v="0"/>
    <s v="App"/>
    <s v="Clothing"/>
    <s v="L"/>
    <n v="2"/>
    <s v="low"/>
    <n v="2792"/>
    <x v="7"/>
    <s v="Telangana"/>
  </r>
  <r>
    <n v="224"/>
    <s v="ORD00224"/>
    <s v="CUST00224"/>
    <x v="0"/>
    <n v="22"/>
    <x v="0"/>
    <s v="2024-09-16"/>
    <x v="3"/>
    <x v="0"/>
    <s v="Store"/>
    <s v="Clothing"/>
    <s v="M"/>
    <n v="1"/>
    <s v="low"/>
    <n v="1255"/>
    <x v="5"/>
    <s v="Karnataka"/>
  </r>
  <r>
    <n v="225"/>
    <s v="ORD00225"/>
    <s v="CUST00225"/>
    <x v="1"/>
    <n v="54"/>
    <x v="2"/>
    <s v="2024-11-30"/>
    <x v="7"/>
    <x v="1"/>
    <s v="Online"/>
    <s v="Electronics"/>
    <s v="M"/>
    <n v="4"/>
    <s v="high"/>
    <n v="7372"/>
    <x v="1"/>
    <s v="Maharashtra"/>
  </r>
  <r>
    <n v="226"/>
    <s v="ORD00226"/>
    <s v="CUST00226"/>
    <x v="0"/>
    <n v="57"/>
    <x v="2"/>
    <s v="2024-05-09"/>
    <x v="9"/>
    <x v="2"/>
    <s v="Store"/>
    <s v="Electronics"/>
    <s v="XL"/>
    <n v="3"/>
    <s v="high"/>
    <n v="6774"/>
    <x v="7"/>
    <s v="Telangana"/>
  </r>
  <r>
    <n v="227"/>
    <s v="ORD00227"/>
    <s v="CUST00227"/>
    <x v="0"/>
    <n v="43"/>
    <x v="1"/>
    <s v="2024-10-27"/>
    <x v="5"/>
    <x v="2"/>
    <s v="Store"/>
    <s v="Clothing"/>
    <s v="XL"/>
    <n v="5"/>
    <s v="high"/>
    <n v="5880"/>
    <x v="6"/>
    <s v="Tamil Nadu"/>
  </r>
  <r>
    <n v="228"/>
    <s v="ORD00228"/>
    <s v="CUST00228"/>
    <x v="0"/>
    <n v="25"/>
    <x v="1"/>
    <s v="2024-01-26"/>
    <x v="10"/>
    <x v="0"/>
    <s v="Online"/>
    <s v="Clothing"/>
    <s v="L"/>
    <n v="4"/>
    <s v="high"/>
    <n v="10076"/>
    <x v="2"/>
    <s v="Delhi"/>
  </r>
  <r>
    <n v="229"/>
    <s v="ORD00229"/>
    <s v="CUST00229"/>
    <x v="1"/>
    <n v="52"/>
    <x v="2"/>
    <s v="2024-11-19"/>
    <x v="7"/>
    <x v="0"/>
    <s v="App"/>
    <s v="Electronics"/>
    <s v="M"/>
    <n v="2"/>
    <s v="low"/>
    <n v="2346"/>
    <x v="1"/>
    <s v="Maharashtra"/>
  </r>
  <r>
    <n v="230"/>
    <s v="ORD00230"/>
    <s v="CUST00230"/>
    <x v="1"/>
    <n v="41"/>
    <x v="1"/>
    <s v="2024-07-17"/>
    <x v="6"/>
    <x v="0"/>
    <s v="Store"/>
    <s v="Electronics"/>
    <s v="M"/>
    <n v="1"/>
    <s v="low"/>
    <n v="1452"/>
    <x v="3"/>
    <s v="Maharashtra"/>
  </r>
  <r>
    <n v="231"/>
    <s v="ORD00231"/>
    <s v="CUST00231"/>
    <x v="1"/>
    <n v="45"/>
    <x v="1"/>
    <s v="2024-06-16"/>
    <x v="8"/>
    <x v="0"/>
    <s v="App"/>
    <s v="Shoes"/>
    <s v="XL"/>
    <n v="1"/>
    <s v="low"/>
    <n v="2002"/>
    <x v="4"/>
    <s v="Gujarat"/>
  </r>
  <r>
    <n v="232"/>
    <s v="ORD00232"/>
    <s v="CUST00232"/>
    <x v="1"/>
    <n v="52"/>
    <x v="2"/>
    <s v="2024-02-08"/>
    <x v="1"/>
    <x v="2"/>
    <s v="Online"/>
    <s v="Clothing"/>
    <s v="L"/>
    <n v="4"/>
    <s v="high"/>
    <n v="11332"/>
    <x v="1"/>
    <s v="Maharashtra"/>
  </r>
  <r>
    <n v="233"/>
    <s v="ORD00233"/>
    <s v="CUST00233"/>
    <x v="0"/>
    <n v="45"/>
    <x v="1"/>
    <s v="2024-08-12"/>
    <x v="2"/>
    <x v="0"/>
    <s v="Store"/>
    <s v="Shoes"/>
    <s v="L"/>
    <n v="3"/>
    <s v="high"/>
    <n v="6021"/>
    <x v="1"/>
    <s v="Maharashtra"/>
  </r>
  <r>
    <n v="234"/>
    <s v="ORD00234"/>
    <s v="CUST00234"/>
    <x v="0"/>
    <n v="52"/>
    <x v="2"/>
    <s v="2024-01-27"/>
    <x v="10"/>
    <x v="0"/>
    <s v="Store"/>
    <s v="Accessories"/>
    <s v="L"/>
    <n v="3"/>
    <s v="high"/>
    <n v="8034"/>
    <x v="2"/>
    <s v="Delhi"/>
  </r>
  <r>
    <n v="235"/>
    <s v="ORD00235"/>
    <s v="CUST00235"/>
    <x v="1"/>
    <n v="40"/>
    <x v="1"/>
    <s v="2024-10-18"/>
    <x v="5"/>
    <x v="2"/>
    <s v="Online"/>
    <s v="Clothing"/>
    <s v="L"/>
    <n v="3"/>
    <s v="high"/>
    <n v="6243"/>
    <x v="0"/>
    <s v="Maharashtra"/>
  </r>
  <r>
    <n v="236"/>
    <s v="ORD00236"/>
    <s v="CUST00236"/>
    <x v="0"/>
    <n v="46"/>
    <x v="2"/>
    <s v="2024-04-09"/>
    <x v="0"/>
    <x v="0"/>
    <s v="Store"/>
    <s v="Electronics"/>
    <s v="XL"/>
    <n v="4"/>
    <s v="high"/>
    <n v="6344"/>
    <x v="0"/>
    <s v="Maharashtra"/>
  </r>
  <r>
    <n v="237"/>
    <s v="ORD00237"/>
    <s v="CUST00237"/>
    <x v="1"/>
    <n v="50"/>
    <x v="2"/>
    <s v="2024-08-15"/>
    <x v="2"/>
    <x v="2"/>
    <s v="Online"/>
    <s v="Electronics"/>
    <s v="M"/>
    <n v="3"/>
    <s v="high"/>
    <n v="6744"/>
    <x v="1"/>
    <s v="Maharashtra"/>
  </r>
  <r>
    <n v="238"/>
    <s v="ORD00238"/>
    <s v="CUST00238"/>
    <x v="1"/>
    <n v="21"/>
    <x v="0"/>
    <s v="2024-02-22"/>
    <x v="1"/>
    <x v="1"/>
    <s v="App"/>
    <s v="Shoes"/>
    <s v="M"/>
    <n v="3"/>
    <s v="high"/>
    <n v="3423"/>
    <x v="4"/>
    <s v="Gujarat"/>
  </r>
  <r>
    <n v="239"/>
    <s v="ORD00239"/>
    <s v="CUST00239"/>
    <x v="0"/>
    <n v="54"/>
    <x v="2"/>
    <s v="2024-10-20"/>
    <x v="5"/>
    <x v="2"/>
    <s v="App"/>
    <s v="Shoes"/>
    <s v="XL"/>
    <n v="4"/>
    <s v="high"/>
    <n v="8024"/>
    <x v="1"/>
    <s v="Maharashtra"/>
  </r>
  <r>
    <n v="240"/>
    <s v="ORD00240"/>
    <s v="CUST00240"/>
    <x v="0"/>
    <n v="53"/>
    <x v="2"/>
    <s v="2024-11-29"/>
    <x v="7"/>
    <x v="0"/>
    <s v="Store"/>
    <s v="Shoes"/>
    <s v="XL"/>
    <n v="2"/>
    <s v="low"/>
    <n v="2054"/>
    <x v="7"/>
    <s v="Telangana"/>
  </r>
  <r>
    <n v="241"/>
    <s v="ORD00241"/>
    <s v="CUST00241"/>
    <x v="0"/>
    <n v="30"/>
    <x v="1"/>
    <s v="2024-04-04"/>
    <x v="0"/>
    <x v="1"/>
    <s v="App"/>
    <s v="Electronics"/>
    <s v="S"/>
    <n v="2"/>
    <s v="high"/>
    <n v="3010"/>
    <x v="7"/>
    <s v="Telangana"/>
  </r>
  <r>
    <n v="242"/>
    <s v="ORD00242"/>
    <s v="CUST00242"/>
    <x v="1"/>
    <n v="22"/>
    <x v="0"/>
    <s v="2024-02-26"/>
    <x v="1"/>
    <x v="0"/>
    <s v="Store"/>
    <s v="Accessories"/>
    <s v="M"/>
    <n v="1"/>
    <s v="low"/>
    <n v="972"/>
    <x v="2"/>
    <s v="Delhi"/>
  </r>
  <r>
    <n v="243"/>
    <s v="ORD00243"/>
    <s v="CUST00243"/>
    <x v="0"/>
    <n v="34"/>
    <x v="1"/>
    <s v="2024-08-04"/>
    <x v="2"/>
    <x v="2"/>
    <s v="Store"/>
    <s v="Clothing"/>
    <s v="L"/>
    <n v="4"/>
    <s v="high"/>
    <n v="8704"/>
    <x v="4"/>
    <s v="Gujarat"/>
  </r>
  <r>
    <n v="244"/>
    <s v="ORD00244"/>
    <s v="CUST00244"/>
    <x v="0"/>
    <n v="23"/>
    <x v="0"/>
    <s v="2024-01-25"/>
    <x v="10"/>
    <x v="0"/>
    <s v="App"/>
    <s v="Clothing"/>
    <s v="XL"/>
    <n v="2"/>
    <s v="low"/>
    <n v="1660"/>
    <x v="1"/>
    <s v="Maharashtra"/>
  </r>
  <r>
    <n v="245"/>
    <s v="ORD00245"/>
    <s v="CUST00245"/>
    <x v="0"/>
    <n v="19"/>
    <x v="0"/>
    <s v="2024-03-01"/>
    <x v="11"/>
    <x v="0"/>
    <s v="App"/>
    <s v="Clothing"/>
    <s v="L"/>
    <n v="3"/>
    <s v="high"/>
    <n v="8967"/>
    <x v="1"/>
    <s v="Maharashtra"/>
  </r>
  <r>
    <n v="246"/>
    <s v="ORD00246"/>
    <s v="CUST00246"/>
    <x v="1"/>
    <n v="30"/>
    <x v="1"/>
    <s v="2024-03-04"/>
    <x v="11"/>
    <x v="1"/>
    <s v="Online"/>
    <s v="Electronics"/>
    <s v="XL"/>
    <n v="2"/>
    <s v="high"/>
    <n v="4824"/>
    <x v="5"/>
    <s v="Karnataka"/>
  </r>
  <r>
    <n v="247"/>
    <s v="ORD00247"/>
    <s v="CUST00247"/>
    <x v="1"/>
    <n v="48"/>
    <x v="2"/>
    <s v="2024-07-11"/>
    <x v="6"/>
    <x v="0"/>
    <s v="Store"/>
    <s v="Accessories"/>
    <s v="L"/>
    <n v="2"/>
    <s v="high"/>
    <n v="4526"/>
    <x v="5"/>
    <s v="Karnataka"/>
  </r>
  <r>
    <n v="248"/>
    <s v="ORD00248"/>
    <s v="CUST00248"/>
    <x v="0"/>
    <n v="24"/>
    <x v="0"/>
    <s v="2024-02-15"/>
    <x v="1"/>
    <x v="1"/>
    <s v="App"/>
    <s v="Clothing"/>
    <s v="XL"/>
    <n v="1"/>
    <s v="low"/>
    <n v="2078"/>
    <x v="1"/>
    <s v="Maharashtra"/>
  </r>
  <r>
    <n v="249"/>
    <s v="ORD00249"/>
    <s v="CUST00249"/>
    <x v="0"/>
    <n v="27"/>
    <x v="1"/>
    <s v="2024-04-04"/>
    <x v="0"/>
    <x v="0"/>
    <s v="Online"/>
    <s v="Clothing"/>
    <s v="XL"/>
    <n v="5"/>
    <s v="high"/>
    <n v="7145"/>
    <x v="0"/>
    <s v="Maharashtra"/>
  </r>
  <r>
    <n v="250"/>
    <s v="ORD00250"/>
    <s v="CUST00250"/>
    <x v="0"/>
    <n v="38"/>
    <x v="1"/>
    <s v="2024-08-10"/>
    <x v="2"/>
    <x v="2"/>
    <s v="App"/>
    <s v="Electronics"/>
    <s v="M"/>
    <n v="3"/>
    <s v="high"/>
    <n v="5868"/>
    <x v="1"/>
    <s v="Maharashtra"/>
  </r>
  <r>
    <n v="251"/>
    <s v="ORD00251"/>
    <s v="CUST00251"/>
    <x v="1"/>
    <n v="22"/>
    <x v="0"/>
    <s v="2024-02-29"/>
    <x v="1"/>
    <x v="0"/>
    <s v="App"/>
    <s v="Electronics"/>
    <s v="L"/>
    <n v="5"/>
    <s v="high"/>
    <n v="13310"/>
    <x v="1"/>
    <s v="Maharashtra"/>
  </r>
  <r>
    <n v="252"/>
    <s v="ORD00252"/>
    <s v="CUST00252"/>
    <x v="1"/>
    <n v="50"/>
    <x v="2"/>
    <s v="2024-03-19"/>
    <x v="11"/>
    <x v="0"/>
    <s v="Store"/>
    <s v="Clothing"/>
    <s v="S"/>
    <n v="3"/>
    <s v="high"/>
    <n v="5205"/>
    <x v="3"/>
    <s v="Maharashtra"/>
  </r>
  <r>
    <n v="253"/>
    <s v="ORD00253"/>
    <s v="CUST00253"/>
    <x v="0"/>
    <n v="20"/>
    <x v="0"/>
    <s v="2024-07-19"/>
    <x v="6"/>
    <x v="1"/>
    <s v="Online"/>
    <s v="Clothing"/>
    <s v="M"/>
    <n v="5"/>
    <s v="high"/>
    <n v="6270"/>
    <x v="0"/>
    <s v="Maharashtra"/>
  </r>
  <r>
    <n v="254"/>
    <s v="ORD00254"/>
    <s v="CUST00254"/>
    <x v="0"/>
    <n v="20"/>
    <x v="0"/>
    <s v="2024-12-26"/>
    <x v="4"/>
    <x v="1"/>
    <s v="Online"/>
    <s v="Clothing"/>
    <s v="XL"/>
    <n v="4"/>
    <s v="high"/>
    <n v="9980"/>
    <x v="0"/>
    <s v="Maharashtra"/>
  </r>
  <r>
    <n v="255"/>
    <s v="ORD00255"/>
    <s v="CUST00255"/>
    <x v="1"/>
    <n v="52"/>
    <x v="2"/>
    <s v="2024-08-10"/>
    <x v="2"/>
    <x v="0"/>
    <s v="App"/>
    <s v="Accessories"/>
    <s v="S"/>
    <n v="3"/>
    <s v="low"/>
    <n v="2376"/>
    <x v="4"/>
    <s v="Gujarat"/>
  </r>
  <r>
    <n v="256"/>
    <s v="ORD00256"/>
    <s v="CUST00256"/>
    <x v="1"/>
    <n v="23"/>
    <x v="0"/>
    <s v="2024-07-27"/>
    <x v="6"/>
    <x v="0"/>
    <s v="Store"/>
    <s v="Shoes"/>
    <s v="L"/>
    <n v="2"/>
    <s v="low"/>
    <n v="2972"/>
    <x v="1"/>
    <s v="Maharashtra"/>
  </r>
  <r>
    <n v="257"/>
    <s v="ORD00257"/>
    <s v="CUST00257"/>
    <x v="1"/>
    <n v="58"/>
    <x v="2"/>
    <s v="2024-05-08"/>
    <x v="9"/>
    <x v="0"/>
    <s v="Store"/>
    <s v="Clothing"/>
    <s v="L"/>
    <n v="5"/>
    <s v="high"/>
    <n v="7010"/>
    <x v="7"/>
    <s v="Telangana"/>
  </r>
  <r>
    <n v="258"/>
    <s v="ORD00258"/>
    <s v="CUST00258"/>
    <x v="1"/>
    <n v="55"/>
    <x v="2"/>
    <s v="2024-02-05"/>
    <x v="1"/>
    <x v="2"/>
    <s v="Online"/>
    <s v="Electronics"/>
    <s v="L"/>
    <n v="5"/>
    <s v="high"/>
    <n v="14090"/>
    <x v="3"/>
    <s v="Maharashtra"/>
  </r>
  <r>
    <n v="259"/>
    <s v="ORD00259"/>
    <s v="CUST00259"/>
    <x v="1"/>
    <n v="51"/>
    <x v="2"/>
    <s v="2024-09-15"/>
    <x v="3"/>
    <x v="1"/>
    <s v="Store"/>
    <s v="Electronics"/>
    <s v="S"/>
    <n v="4"/>
    <s v="high"/>
    <n v="4564"/>
    <x v="0"/>
    <s v="Maharashtra"/>
  </r>
  <r>
    <n v="260"/>
    <s v="ORD00260"/>
    <s v="CUST00260"/>
    <x v="1"/>
    <n v="46"/>
    <x v="2"/>
    <s v="2024-10-21"/>
    <x v="5"/>
    <x v="2"/>
    <s v="Online"/>
    <s v="Electronics"/>
    <s v="S"/>
    <n v="5"/>
    <s v="low"/>
    <n v="2555"/>
    <x v="6"/>
    <s v="Tamil Nadu"/>
  </r>
  <r>
    <n v="261"/>
    <s v="ORD00261"/>
    <s v="CUST00261"/>
    <x v="0"/>
    <n v="41"/>
    <x v="1"/>
    <s v="2024-03-26"/>
    <x v="11"/>
    <x v="1"/>
    <s v="App"/>
    <s v="Shoes"/>
    <s v="XL"/>
    <n v="4"/>
    <s v="high"/>
    <n v="9672"/>
    <x v="3"/>
    <s v="Maharashtra"/>
  </r>
  <r>
    <n v="262"/>
    <s v="ORD00262"/>
    <s v="CUST00262"/>
    <x v="0"/>
    <n v="34"/>
    <x v="1"/>
    <s v="2024-04-04"/>
    <x v="0"/>
    <x v="2"/>
    <s v="App"/>
    <s v="Clothing"/>
    <s v="XL"/>
    <n v="2"/>
    <s v="low"/>
    <n v="1334"/>
    <x v="1"/>
    <s v="Maharashtra"/>
  </r>
  <r>
    <n v="263"/>
    <s v="ORD00263"/>
    <s v="CUST00263"/>
    <x v="0"/>
    <n v="46"/>
    <x v="2"/>
    <s v="2024-05-10"/>
    <x v="9"/>
    <x v="1"/>
    <s v="Online"/>
    <s v="Clothing"/>
    <s v="L"/>
    <n v="3"/>
    <s v="low"/>
    <n v="1515"/>
    <x v="6"/>
    <s v="Tamil Nadu"/>
  </r>
  <r>
    <n v="264"/>
    <s v="ORD00264"/>
    <s v="CUST00264"/>
    <x v="0"/>
    <n v="39"/>
    <x v="1"/>
    <s v="2024-09-24"/>
    <x v="3"/>
    <x v="2"/>
    <s v="Online"/>
    <s v="Shoes"/>
    <s v="L"/>
    <n v="2"/>
    <s v="high"/>
    <n v="5042"/>
    <x v="6"/>
    <s v="Tamil Nadu"/>
  </r>
  <r>
    <n v="265"/>
    <s v="ORD00265"/>
    <s v="CUST00265"/>
    <x v="0"/>
    <n v="52"/>
    <x v="2"/>
    <s v="2024-03-11"/>
    <x v="11"/>
    <x v="0"/>
    <s v="App"/>
    <s v="Clothing"/>
    <s v="L"/>
    <n v="3"/>
    <s v="high"/>
    <n v="7740"/>
    <x v="3"/>
    <s v="Maharashtra"/>
  </r>
  <r>
    <n v="266"/>
    <s v="ORD00266"/>
    <s v="CUST00266"/>
    <x v="1"/>
    <n v="55"/>
    <x v="2"/>
    <s v="2024-09-12"/>
    <x v="3"/>
    <x v="1"/>
    <s v="Online"/>
    <s v="Clothing"/>
    <s v="L"/>
    <n v="5"/>
    <s v="high"/>
    <n v="4075"/>
    <x v="4"/>
    <s v="Gujarat"/>
  </r>
  <r>
    <n v="267"/>
    <s v="ORD00267"/>
    <s v="CUST00267"/>
    <x v="1"/>
    <n v="45"/>
    <x v="1"/>
    <s v="2024-12-24"/>
    <x v="4"/>
    <x v="1"/>
    <s v="Online"/>
    <s v="Clothing"/>
    <s v="L"/>
    <n v="5"/>
    <s v="high"/>
    <n v="12220"/>
    <x v="5"/>
    <s v="Karnataka"/>
  </r>
  <r>
    <n v="268"/>
    <s v="ORD00268"/>
    <s v="CUST00268"/>
    <x v="0"/>
    <n v="43"/>
    <x v="1"/>
    <s v="2024-08-22"/>
    <x v="2"/>
    <x v="2"/>
    <s v="Store"/>
    <s v="Shoes"/>
    <s v="S"/>
    <n v="1"/>
    <s v="low"/>
    <n v="1001"/>
    <x v="0"/>
    <s v="Maharashtra"/>
  </r>
  <r>
    <n v="269"/>
    <s v="ORD00269"/>
    <s v="CUST00269"/>
    <x v="0"/>
    <n v="39"/>
    <x v="1"/>
    <s v="2024-10-29"/>
    <x v="5"/>
    <x v="1"/>
    <s v="Store"/>
    <s v="Electronics"/>
    <s v="L"/>
    <n v="4"/>
    <s v="high"/>
    <n v="9512"/>
    <x v="5"/>
    <s v="Karnataka"/>
  </r>
  <r>
    <n v="270"/>
    <s v="ORD00270"/>
    <s v="CUST00270"/>
    <x v="0"/>
    <n v="19"/>
    <x v="0"/>
    <s v="2024-08-07"/>
    <x v="2"/>
    <x v="1"/>
    <s v="Online"/>
    <s v="Accessories"/>
    <s v="L"/>
    <n v="5"/>
    <s v="high"/>
    <n v="5040"/>
    <x v="5"/>
    <s v="Karnataka"/>
  </r>
  <r>
    <n v="271"/>
    <s v="ORD00271"/>
    <s v="CUST00271"/>
    <x v="0"/>
    <n v="28"/>
    <x v="1"/>
    <s v="2024-01-08"/>
    <x v="10"/>
    <x v="0"/>
    <s v="Online"/>
    <s v="Accessories"/>
    <s v="L"/>
    <n v="4"/>
    <s v="high"/>
    <n v="5968"/>
    <x v="1"/>
    <s v="Maharashtra"/>
  </r>
  <r>
    <n v="272"/>
    <s v="ORD00272"/>
    <s v="CUST00272"/>
    <x v="0"/>
    <n v="52"/>
    <x v="2"/>
    <s v="2024-10-15"/>
    <x v="5"/>
    <x v="1"/>
    <s v="App"/>
    <s v="Shoes"/>
    <s v="L"/>
    <n v="3"/>
    <s v="high"/>
    <n v="6558"/>
    <x v="5"/>
    <s v="Karnataka"/>
  </r>
  <r>
    <n v="273"/>
    <s v="ORD00273"/>
    <s v="CUST00273"/>
    <x v="0"/>
    <n v="24"/>
    <x v="0"/>
    <s v="2024-11-11"/>
    <x v="7"/>
    <x v="0"/>
    <s v="Store"/>
    <s v="Clothing"/>
    <s v="M"/>
    <n v="4"/>
    <s v="high"/>
    <n v="3952"/>
    <x v="2"/>
    <s v="Delhi"/>
  </r>
  <r>
    <n v="274"/>
    <s v="ORD00274"/>
    <s v="CUST00274"/>
    <x v="0"/>
    <n v="31"/>
    <x v="1"/>
    <s v="2024-11-18"/>
    <x v="7"/>
    <x v="2"/>
    <s v="App"/>
    <s v="Electronics"/>
    <s v="S"/>
    <n v="3"/>
    <s v="high"/>
    <n v="7509"/>
    <x v="4"/>
    <s v="Gujarat"/>
  </r>
  <r>
    <n v="275"/>
    <s v="ORD00275"/>
    <s v="CUST00275"/>
    <x v="0"/>
    <n v="48"/>
    <x v="2"/>
    <s v="2024-07-06"/>
    <x v="6"/>
    <x v="0"/>
    <s v="App"/>
    <s v="Shoes"/>
    <s v="S"/>
    <n v="3"/>
    <s v="high"/>
    <n v="4836"/>
    <x v="7"/>
    <s v="Telangana"/>
  </r>
  <r>
    <n v="276"/>
    <s v="ORD00276"/>
    <s v="CUST00276"/>
    <x v="1"/>
    <n v="21"/>
    <x v="0"/>
    <s v="2024-11-13"/>
    <x v="7"/>
    <x v="1"/>
    <s v="Store"/>
    <s v="Shoes"/>
    <s v="M"/>
    <n v="1"/>
    <s v="low"/>
    <n v="1834"/>
    <x v="2"/>
    <s v="Delhi"/>
  </r>
  <r>
    <n v="277"/>
    <s v="ORD00277"/>
    <s v="CUST00277"/>
    <x v="1"/>
    <n v="29"/>
    <x v="1"/>
    <s v="2024-03-05"/>
    <x v="11"/>
    <x v="0"/>
    <s v="App"/>
    <s v="Shoes"/>
    <s v="M"/>
    <n v="3"/>
    <s v="low"/>
    <n v="2661"/>
    <x v="0"/>
    <s v="Maharashtra"/>
  </r>
  <r>
    <n v="278"/>
    <s v="ORD00278"/>
    <s v="CUST00278"/>
    <x v="0"/>
    <n v="45"/>
    <x v="1"/>
    <s v="2024-11-14"/>
    <x v="7"/>
    <x v="2"/>
    <s v="Online"/>
    <s v="Electronics"/>
    <s v="M"/>
    <n v="4"/>
    <s v="high"/>
    <n v="8784"/>
    <x v="4"/>
    <s v="Gujarat"/>
  </r>
  <r>
    <n v="279"/>
    <s v="ORD00279"/>
    <s v="CUST00279"/>
    <x v="0"/>
    <n v="23"/>
    <x v="0"/>
    <s v="2024-04-07"/>
    <x v="0"/>
    <x v="0"/>
    <s v="App"/>
    <s v="Accessories"/>
    <s v="S"/>
    <n v="2"/>
    <s v="low"/>
    <n v="2772"/>
    <x v="7"/>
    <s v="Telangana"/>
  </r>
  <r>
    <n v="280"/>
    <s v="ORD00280"/>
    <s v="CUST00280"/>
    <x v="1"/>
    <n v="21"/>
    <x v="0"/>
    <s v="2024-10-11"/>
    <x v="5"/>
    <x v="2"/>
    <s v="App"/>
    <s v="Electronics"/>
    <s v="XL"/>
    <n v="5"/>
    <s v="low"/>
    <n v="2560"/>
    <x v="4"/>
    <s v="Gujarat"/>
  </r>
  <r>
    <n v="281"/>
    <s v="ORD00281"/>
    <s v="CUST00281"/>
    <x v="0"/>
    <n v="51"/>
    <x v="2"/>
    <s v="2024-12-18"/>
    <x v="4"/>
    <x v="2"/>
    <s v="App"/>
    <s v="Accessories"/>
    <s v="XL"/>
    <n v="1"/>
    <s v="low"/>
    <n v="914"/>
    <x v="3"/>
    <s v="Maharashtra"/>
  </r>
  <r>
    <n v="282"/>
    <s v="ORD00282"/>
    <s v="CUST00282"/>
    <x v="1"/>
    <n v="28"/>
    <x v="1"/>
    <s v="2024-09-17"/>
    <x v="3"/>
    <x v="2"/>
    <s v="App"/>
    <s v="Shoes"/>
    <s v="S"/>
    <n v="5"/>
    <s v="low"/>
    <n v="2745"/>
    <x v="1"/>
    <s v="Maharashtra"/>
  </r>
  <r>
    <n v="283"/>
    <s v="ORD00283"/>
    <s v="CUST00283"/>
    <x v="1"/>
    <n v="39"/>
    <x v="1"/>
    <s v="2024-12-30"/>
    <x v="4"/>
    <x v="1"/>
    <s v="App"/>
    <s v="Accessories"/>
    <s v="L"/>
    <n v="3"/>
    <s v="low"/>
    <n v="2919"/>
    <x v="1"/>
    <s v="Maharashtra"/>
  </r>
  <r>
    <n v="284"/>
    <s v="ORD00284"/>
    <s v="CUST00284"/>
    <x v="0"/>
    <n v="23"/>
    <x v="0"/>
    <s v="2024-08-06"/>
    <x v="2"/>
    <x v="0"/>
    <s v="Online"/>
    <s v="Shoes"/>
    <s v="M"/>
    <n v="2"/>
    <s v="high"/>
    <n v="4158"/>
    <x v="6"/>
    <s v="Tamil Nadu"/>
  </r>
  <r>
    <n v="285"/>
    <s v="ORD00285"/>
    <s v="CUST00285"/>
    <x v="1"/>
    <n v="46"/>
    <x v="2"/>
    <s v="2024-05-13"/>
    <x v="9"/>
    <x v="2"/>
    <s v="Store"/>
    <s v="Clothing"/>
    <s v="XL"/>
    <n v="1"/>
    <s v="low"/>
    <n v="1384"/>
    <x v="3"/>
    <s v="Maharashtra"/>
  </r>
  <r>
    <n v="286"/>
    <s v="ORD00286"/>
    <s v="CUST00286"/>
    <x v="0"/>
    <n v="52"/>
    <x v="2"/>
    <s v="2024-08-22"/>
    <x v="2"/>
    <x v="2"/>
    <s v="Store"/>
    <s v="Electronics"/>
    <s v="XL"/>
    <n v="1"/>
    <s v="low"/>
    <n v="2975"/>
    <x v="4"/>
    <s v="Gujarat"/>
  </r>
  <r>
    <n v="287"/>
    <s v="ORD00287"/>
    <s v="CUST00287"/>
    <x v="1"/>
    <n v="32"/>
    <x v="1"/>
    <s v="2024-10-16"/>
    <x v="5"/>
    <x v="0"/>
    <s v="Online"/>
    <s v="Accessories"/>
    <s v="M"/>
    <n v="2"/>
    <s v="low"/>
    <n v="2250"/>
    <x v="1"/>
    <s v="Maharashtra"/>
  </r>
  <r>
    <n v="288"/>
    <s v="ORD00288"/>
    <s v="CUST00288"/>
    <x v="1"/>
    <n v="27"/>
    <x v="1"/>
    <s v="2024-10-15"/>
    <x v="5"/>
    <x v="2"/>
    <s v="Store"/>
    <s v="Shoes"/>
    <s v="XL"/>
    <n v="2"/>
    <s v="high"/>
    <n v="3132"/>
    <x v="3"/>
    <s v="Maharashtra"/>
  </r>
  <r>
    <n v="289"/>
    <s v="ORD00289"/>
    <s v="CUST00289"/>
    <x v="0"/>
    <n v="23"/>
    <x v="0"/>
    <s v="2024-10-20"/>
    <x v="5"/>
    <x v="1"/>
    <s v="Online"/>
    <s v="Accessories"/>
    <s v="XL"/>
    <n v="5"/>
    <s v="high"/>
    <n v="6000"/>
    <x v="6"/>
    <s v="Tamil Nadu"/>
  </r>
  <r>
    <n v="290"/>
    <s v="ORD00290"/>
    <s v="CUST00290"/>
    <x v="1"/>
    <n v="32"/>
    <x v="1"/>
    <s v="2024-01-01"/>
    <x v="10"/>
    <x v="1"/>
    <s v="App"/>
    <s v="Clothing"/>
    <s v="M"/>
    <n v="1"/>
    <s v="low"/>
    <n v="827"/>
    <x v="3"/>
    <s v="Maharashtra"/>
  </r>
  <r>
    <n v="291"/>
    <s v="ORD00291"/>
    <s v="CUST00291"/>
    <x v="0"/>
    <n v="58"/>
    <x v="2"/>
    <s v="2024-06-18"/>
    <x v="8"/>
    <x v="1"/>
    <s v="Store"/>
    <s v="Shoes"/>
    <s v="M"/>
    <n v="3"/>
    <s v="high"/>
    <n v="8496"/>
    <x v="7"/>
    <s v="Telangana"/>
  </r>
  <r>
    <n v="292"/>
    <s v="ORD00292"/>
    <s v="CUST00292"/>
    <x v="1"/>
    <n v="52"/>
    <x v="2"/>
    <s v="2024-05-26"/>
    <x v="9"/>
    <x v="1"/>
    <s v="Online"/>
    <s v="Electronics"/>
    <s v="XL"/>
    <n v="3"/>
    <s v="high"/>
    <n v="8292"/>
    <x v="6"/>
    <s v="Tamil Nadu"/>
  </r>
  <r>
    <n v="293"/>
    <s v="ORD00293"/>
    <s v="CUST00293"/>
    <x v="0"/>
    <n v="51"/>
    <x v="2"/>
    <s v="2024-03-24"/>
    <x v="11"/>
    <x v="2"/>
    <s v="App"/>
    <s v="Shoes"/>
    <s v="XL"/>
    <n v="4"/>
    <s v="high"/>
    <n v="7984"/>
    <x v="3"/>
    <s v="Maharashtra"/>
  </r>
  <r>
    <n v="294"/>
    <s v="ORD00294"/>
    <s v="CUST00294"/>
    <x v="1"/>
    <n v="58"/>
    <x v="2"/>
    <s v="2024-06-20"/>
    <x v="8"/>
    <x v="0"/>
    <s v="Store"/>
    <s v="Electronics"/>
    <s v="L"/>
    <n v="4"/>
    <s v="high"/>
    <n v="6400"/>
    <x v="2"/>
    <s v="Delhi"/>
  </r>
  <r>
    <n v="295"/>
    <s v="ORD00295"/>
    <s v="CUST00295"/>
    <x v="1"/>
    <n v="26"/>
    <x v="1"/>
    <s v="2024-12-07"/>
    <x v="4"/>
    <x v="1"/>
    <s v="Store"/>
    <s v="Clothing"/>
    <s v="M"/>
    <n v="1"/>
    <s v="low"/>
    <n v="2552"/>
    <x v="7"/>
    <s v="Telangana"/>
  </r>
  <r>
    <n v="296"/>
    <s v="ORD00296"/>
    <s v="CUST00296"/>
    <x v="0"/>
    <n v="26"/>
    <x v="1"/>
    <s v="2024-11-06"/>
    <x v="7"/>
    <x v="1"/>
    <s v="Store"/>
    <s v="Clothing"/>
    <s v="S"/>
    <n v="5"/>
    <s v="high"/>
    <n v="12690"/>
    <x v="6"/>
    <s v="Tamil Nadu"/>
  </r>
  <r>
    <n v="297"/>
    <s v="ORD00297"/>
    <s v="CUST00297"/>
    <x v="1"/>
    <n v="46"/>
    <x v="2"/>
    <s v="2024-07-03"/>
    <x v="6"/>
    <x v="2"/>
    <s v="App"/>
    <s v="Electronics"/>
    <s v="L"/>
    <n v="3"/>
    <s v="high"/>
    <n v="5871"/>
    <x v="5"/>
    <s v="Karnataka"/>
  </r>
  <r>
    <n v="298"/>
    <s v="ORD00298"/>
    <s v="CUST00298"/>
    <x v="1"/>
    <n v="55"/>
    <x v="2"/>
    <s v="2024-08-24"/>
    <x v="2"/>
    <x v="0"/>
    <s v="App"/>
    <s v="Accessories"/>
    <s v="M"/>
    <n v="2"/>
    <s v="high"/>
    <n v="4672"/>
    <x v="0"/>
    <s v="Maharashtra"/>
  </r>
  <r>
    <n v="299"/>
    <s v="ORD00299"/>
    <s v="CUST00299"/>
    <x v="0"/>
    <n v="18"/>
    <x v="0"/>
    <s v="2024-06-21"/>
    <x v="8"/>
    <x v="0"/>
    <s v="App"/>
    <s v="Electronics"/>
    <s v="XL"/>
    <n v="2"/>
    <s v="high"/>
    <n v="5042"/>
    <x v="4"/>
    <s v="Gujarat"/>
  </r>
  <r>
    <n v="300"/>
    <s v="ORD00300"/>
    <s v="CUST00300"/>
    <x v="1"/>
    <n v="24"/>
    <x v="0"/>
    <s v="2024-07-04"/>
    <x v="6"/>
    <x v="2"/>
    <s v="App"/>
    <s v="Electronics"/>
    <s v="M"/>
    <n v="2"/>
    <s v="high"/>
    <n v="5348"/>
    <x v="6"/>
    <s v="Tamil Nadu"/>
  </r>
  <r>
    <n v="301"/>
    <s v="ORD00301"/>
    <s v="CUST00301"/>
    <x v="0"/>
    <n v="57"/>
    <x v="2"/>
    <s v="2024-01-24"/>
    <x v="10"/>
    <x v="1"/>
    <s v="App"/>
    <s v="Electronics"/>
    <s v="XL"/>
    <n v="1"/>
    <s v="low"/>
    <n v="1893"/>
    <x v="5"/>
    <s v="Karnataka"/>
  </r>
  <r>
    <n v="302"/>
    <s v="ORD00302"/>
    <s v="CUST00302"/>
    <x v="1"/>
    <n v="27"/>
    <x v="1"/>
    <s v="2024-10-25"/>
    <x v="5"/>
    <x v="2"/>
    <s v="Online"/>
    <s v="Electronics"/>
    <s v="L"/>
    <n v="3"/>
    <s v="high"/>
    <n v="4212"/>
    <x v="0"/>
    <s v="Maharashtra"/>
  </r>
  <r>
    <n v="303"/>
    <s v="ORD00303"/>
    <s v="CUST00303"/>
    <x v="0"/>
    <n v="27"/>
    <x v="1"/>
    <s v="2024-02-12"/>
    <x v="1"/>
    <x v="1"/>
    <s v="Store"/>
    <s v="Clothing"/>
    <s v="S"/>
    <n v="3"/>
    <s v="high"/>
    <n v="7320"/>
    <x v="1"/>
    <s v="Maharashtra"/>
  </r>
  <r>
    <n v="304"/>
    <s v="ORD00304"/>
    <s v="CUST00304"/>
    <x v="1"/>
    <n v="19"/>
    <x v="0"/>
    <s v="2024-08-28"/>
    <x v="2"/>
    <x v="2"/>
    <s v="Store"/>
    <s v="Shoes"/>
    <s v="S"/>
    <n v="2"/>
    <s v="low"/>
    <n v="1988"/>
    <x v="5"/>
    <s v="Karnataka"/>
  </r>
  <r>
    <n v="305"/>
    <s v="ORD00305"/>
    <s v="CUST00305"/>
    <x v="0"/>
    <n v="34"/>
    <x v="1"/>
    <s v="2024-11-27"/>
    <x v="7"/>
    <x v="1"/>
    <s v="Store"/>
    <s v="Accessories"/>
    <s v="L"/>
    <n v="3"/>
    <s v="low"/>
    <n v="2493"/>
    <x v="2"/>
    <s v="Delhi"/>
  </r>
  <r>
    <n v="306"/>
    <s v="ORD00306"/>
    <s v="CUST00306"/>
    <x v="1"/>
    <n v="47"/>
    <x v="2"/>
    <s v="2024-12-17"/>
    <x v="4"/>
    <x v="2"/>
    <s v="Store"/>
    <s v="Clothing"/>
    <s v="M"/>
    <n v="3"/>
    <s v="high"/>
    <n v="7185"/>
    <x v="7"/>
    <s v="Telangana"/>
  </r>
  <r>
    <n v="307"/>
    <s v="ORD00307"/>
    <s v="CUST00307"/>
    <x v="1"/>
    <n v="33"/>
    <x v="1"/>
    <s v="2024-01-08"/>
    <x v="10"/>
    <x v="2"/>
    <s v="App"/>
    <s v="Shoes"/>
    <s v="XL"/>
    <n v="4"/>
    <s v="high"/>
    <n v="5460"/>
    <x v="6"/>
    <s v="Tamil Nadu"/>
  </r>
  <r>
    <n v="308"/>
    <s v="ORD00308"/>
    <s v="CUST00308"/>
    <x v="1"/>
    <n v="45"/>
    <x v="1"/>
    <s v="2024-05-28"/>
    <x v="9"/>
    <x v="1"/>
    <s v="Online"/>
    <s v="Shoes"/>
    <s v="XL"/>
    <n v="3"/>
    <s v="high"/>
    <n v="6876"/>
    <x v="0"/>
    <s v="Maharashtra"/>
  </r>
  <r>
    <n v="309"/>
    <s v="ORD00309"/>
    <s v="CUST00309"/>
    <x v="1"/>
    <n v="21"/>
    <x v="0"/>
    <s v="2024-11-05"/>
    <x v="7"/>
    <x v="1"/>
    <s v="App"/>
    <s v="Shoes"/>
    <s v="XL"/>
    <n v="3"/>
    <s v="low"/>
    <n v="1611"/>
    <x v="1"/>
    <s v="Maharashtra"/>
  </r>
  <r>
    <n v="310"/>
    <s v="ORD00310"/>
    <s v="CUST00310"/>
    <x v="0"/>
    <n v="38"/>
    <x v="1"/>
    <s v="2024-05-02"/>
    <x v="9"/>
    <x v="1"/>
    <s v="Online"/>
    <s v="Electronics"/>
    <s v="XL"/>
    <n v="2"/>
    <s v="low"/>
    <n v="2218"/>
    <x v="4"/>
    <s v="Gujarat"/>
  </r>
  <r>
    <n v="311"/>
    <s v="ORD00311"/>
    <s v="CUST00311"/>
    <x v="1"/>
    <n v="50"/>
    <x v="2"/>
    <s v="2024-03-05"/>
    <x v="11"/>
    <x v="1"/>
    <s v="Online"/>
    <s v="Accessories"/>
    <s v="M"/>
    <n v="4"/>
    <s v="high"/>
    <n v="7792"/>
    <x v="5"/>
    <s v="Karnataka"/>
  </r>
  <r>
    <n v="312"/>
    <s v="ORD00312"/>
    <s v="CUST00312"/>
    <x v="0"/>
    <n v="53"/>
    <x v="2"/>
    <s v="2024-07-23"/>
    <x v="6"/>
    <x v="2"/>
    <s v="Online"/>
    <s v="Shoes"/>
    <s v="M"/>
    <n v="1"/>
    <s v="low"/>
    <n v="1397"/>
    <x v="0"/>
    <s v="Maharashtra"/>
  </r>
  <r>
    <n v="313"/>
    <s v="ORD00313"/>
    <s v="CUST00313"/>
    <x v="0"/>
    <n v="28"/>
    <x v="1"/>
    <s v="2024-02-04"/>
    <x v="1"/>
    <x v="2"/>
    <s v="Online"/>
    <s v="Electronics"/>
    <s v="S"/>
    <n v="4"/>
    <s v="high"/>
    <n v="4740"/>
    <x v="2"/>
    <s v="Delhi"/>
  </r>
  <r>
    <n v="314"/>
    <s v="ORD00314"/>
    <s v="CUST00314"/>
    <x v="0"/>
    <n v="50"/>
    <x v="2"/>
    <s v="2024-04-15"/>
    <x v="0"/>
    <x v="0"/>
    <s v="Store"/>
    <s v="Shoes"/>
    <s v="L"/>
    <n v="1"/>
    <s v="low"/>
    <n v="2008"/>
    <x v="6"/>
    <s v="Tamil Nadu"/>
  </r>
  <r>
    <n v="315"/>
    <s v="ORD00315"/>
    <s v="CUST00315"/>
    <x v="1"/>
    <n v="33"/>
    <x v="1"/>
    <s v="2024-08-30"/>
    <x v="2"/>
    <x v="1"/>
    <s v="App"/>
    <s v="Accessories"/>
    <s v="S"/>
    <n v="1"/>
    <s v="low"/>
    <n v="2331"/>
    <x v="7"/>
    <s v="Telangana"/>
  </r>
  <r>
    <n v="316"/>
    <s v="ORD00316"/>
    <s v="CUST00316"/>
    <x v="0"/>
    <n v="50"/>
    <x v="2"/>
    <s v="2024-08-28"/>
    <x v="2"/>
    <x v="2"/>
    <s v="App"/>
    <s v="Shoes"/>
    <s v="XL"/>
    <n v="2"/>
    <s v="high"/>
    <n v="5056"/>
    <x v="0"/>
    <s v="Maharashtra"/>
  </r>
  <r>
    <n v="317"/>
    <s v="ORD00317"/>
    <s v="CUST00317"/>
    <x v="0"/>
    <n v="48"/>
    <x v="2"/>
    <s v="2024-03-06"/>
    <x v="11"/>
    <x v="1"/>
    <s v="Online"/>
    <s v="Clothing"/>
    <s v="S"/>
    <n v="3"/>
    <s v="high"/>
    <n v="3756"/>
    <x v="0"/>
    <s v="Maharashtra"/>
  </r>
  <r>
    <n v="318"/>
    <s v="ORD00318"/>
    <s v="CUST00318"/>
    <x v="0"/>
    <n v="42"/>
    <x v="1"/>
    <s v="2024-05-30"/>
    <x v="9"/>
    <x v="0"/>
    <s v="Store"/>
    <s v="Accessories"/>
    <s v="M"/>
    <n v="2"/>
    <s v="low"/>
    <n v="2488"/>
    <x v="0"/>
    <s v="Maharashtra"/>
  </r>
  <r>
    <n v="319"/>
    <s v="ORD00319"/>
    <s v="CUST00319"/>
    <x v="1"/>
    <n v="28"/>
    <x v="1"/>
    <s v="2024-07-23"/>
    <x v="6"/>
    <x v="0"/>
    <s v="Store"/>
    <s v="Shoes"/>
    <s v="XL"/>
    <n v="1"/>
    <s v="low"/>
    <n v="2453"/>
    <x v="5"/>
    <s v="Karnataka"/>
  </r>
  <r>
    <n v="320"/>
    <s v="ORD00320"/>
    <s v="CUST00320"/>
    <x v="0"/>
    <n v="35"/>
    <x v="1"/>
    <s v="2024-07-07"/>
    <x v="6"/>
    <x v="0"/>
    <s v="App"/>
    <s v="Clothing"/>
    <s v="L"/>
    <n v="5"/>
    <s v="high"/>
    <n v="8785"/>
    <x v="2"/>
    <s v="Delhi"/>
  </r>
  <r>
    <n v="321"/>
    <s v="ORD00321"/>
    <s v="CUST00321"/>
    <x v="0"/>
    <n v="53"/>
    <x v="2"/>
    <s v="2024-03-08"/>
    <x v="11"/>
    <x v="1"/>
    <s v="Online"/>
    <s v="Accessories"/>
    <s v="XL"/>
    <n v="4"/>
    <s v="high"/>
    <n v="3740"/>
    <x v="3"/>
    <s v="Maharashtra"/>
  </r>
  <r>
    <n v="322"/>
    <s v="ORD00322"/>
    <s v="CUST00322"/>
    <x v="1"/>
    <n v="50"/>
    <x v="2"/>
    <s v="2024-02-07"/>
    <x v="1"/>
    <x v="0"/>
    <s v="Store"/>
    <s v="Accessories"/>
    <s v="L"/>
    <n v="3"/>
    <s v="low"/>
    <n v="1854"/>
    <x v="5"/>
    <s v="Karnataka"/>
  </r>
  <r>
    <n v="323"/>
    <s v="ORD00323"/>
    <s v="CUST00323"/>
    <x v="1"/>
    <n v="26"/>
    <x v="1"/>
    <s v="2024-09-13"/>
    <x v="3"/>
    <x v="2"/>
    <s v="Online"/>
    <s v="Shoes"/>
    <s v="L"/>
    <n v="2"/>
    <s v="low"/>
    <n v="1888"/>
    <x v="2"/>
    <s v="Delhi"/>
  </r>
  <r>
    <n v="324"/>
    <s v="ORD00324"/>
    <s v="CUST00324"/>
    <x v="1"/>
    <n v="41"/>
    <x v="1"/>
    <s v="2024-11-26"/>
    <x v="7"/>
    <x v="1"/>
    <s v="App"/>
    <s v="Clothing"/>
    <s v="XL"/>
    <n v="5"/>
    <s v="high"/>
    <n v="8755"/>
    <x v="4"/>
    <s v="Gujarat"/>
  </r>
  <r>
    <n v="325"/>
    <s v="ORD00325"/>
    <s v="CUST00325"/>
    <x v="1"/>
    <n v="18"/>
    <x v="0"/>
    <s v="2024-03-14"/>
    <x v="11"/>
    <x v="2"/>
    <s v="App"/>
    <s v="Electronics"/>
    <s v="S"/>
    <n v="3"/>
    <s v="high"/>
    <n v="4815"/>
    <x v="1"/>
    <s v="Maharashtra"/>
  </r>
  <r>
    <n v="326"/>
    <s v="ORD00326"/>
    <s v="CUST00326"/>
    <x v="1"/>
    <n v="54"/>
    <x v="2"/>
    <s v="2024-05-06"/>
    <x v="9"/>
    <x v="2"/>
    <s v="Online"/>
    <s v="Shoes"/>
    <s v="M"/>
    <n v="5"/>
    <s v="high"/>
    <n v="12915"/>
    <x v="4"/>
    <s v="Gujarat"/>
  </r>
  <r>
    <n v="327"/>
    <s v="ORD00327"/>
    <s v="CUST00327"/>
    <x v="0"/>
    <n v="54"/>
    <x v="2"/>
    <s v="2024-12-06"/>
    <x v="4"/>
    <x v="0"/>
    <s v="App"/>
    <s v="Shoes"/>
    <s v="S"/>
    <n v="1"/>
    <s v="low"/>
    <n v="825"/>
    <x v="7"/>
    <s v="Telangana"/>
  </r>
  <r>
    <n v="328"/>
    <s v="ORD00328"/>
    <s v="CUST00328"/>
    <x v="0"/>
    <n v="20"/>
    <x v="0"/>
    <s v="2024-08-13"/>
    <x v="2"/>
    <x v="0"/>
    <s v="App"/>
    <s v="Accessories"/>
    <s v="L"/>
    <n v="2"/>
    <s v="high"/>
    <n v="3846"/>
    <x v="5"/>
    <s v="Karnataka"/>
  </r>
  <r>
    <n v="329"/>
    <s v="ORD00329"/>
    <s v="CUST00329"/>
    <x v="0"/>
    <n v="40"/>
    <x v="1"/>
    <s v="2024-01-18"/>
    <x v="10"/>
    <x v="0"/>
    <s v="App"/>
    <s v="Accessories"/>
    <s v="XL"/>
    <n v="3"/>
    <s v="high"/>
    <n v="8886"/>
    <x v="0"/>
    <s v="Maharashtra"/>
  </r>
  <r>
    <n v="330"/>
    <s v="ORD00330"/>
    <s v="CUST00330"/>
    <x v="1"/>
    <n v="30"/>
    <x v="1"/>
    <s v="2024-04-29"/>
    <x v="0"/>
    <x v="0"/>
    <s v="Store"/>
    <s v="Accessories"/>
    <s v="S"/>
    <n v="1"/>
    <s v="low"/>
    <n v="807"/>
    <x v="3"/>
    <s v="Maharashtra"/>
  </r>
  <r>
    <n v="331"/>
    <s v="ORD00331"/>
    <s v="CUST00331"/>
    <x v="1"/>
    <n v="47"/>
    <x v="2"/>
    <s v="2024-06-10"/>
    <x v="8"/>
    <x v="2"/>
    <s v="App"/>
    <s v="Shoes"/>
    <s v="M"/>
    <n v="3"/>
    <s v="low"/>
    <n v="2148"/>
    <x v="3"/>
    <s v="Maharashtra"/>
  </r>
  <r>
    <n v="332"/>
    <s v="ORD00332"/>
    <s v="CUST00332"/>
    <x v="1"/>
    <n v="34"/>
    <x v="1"/>
    <s v="2024-04-17"/>
    <x v="0"/>
    <x v="0"/>
    <s v="App"/>
    <s v="Clothing"/>
    <s v="M"/>
    <n v="3"/>
    <s v="low"/>
    <n v="2883"/>
    <x v="7"/>
    <s v="Telangana"/>
  </r>
  <r>
    <n v="333"/>
    <s v="ORD00333"/>
    <s v="CUST00333"/>
    <x v="1"/>
    <n v="23"/>
    <x v="0"/>
    <s v="2024-08-16"/>
    <x v="2"/>
    <x v="0"/>
    <s v="Store"/>
    <s v="Electronics"/>
    <s v="XL"/>
    <n v="4"/>
    <s v="high"/>
    <n v="9160"/>
    <x v="1"/>
    <s v="Maharashtra"/>
  </r>
  <r>
    <n v="334"/>
    <s v="ORD00334"/>
    <s v="CUST00334"/>
    <x v="1"/>
    <n v="44"/>
    <x v="1"/>
    <s v="2024-05-03"/>
    <x v="9"/>
    <x v="2"/>
    <s v="App"/>
    <s v="Clothing"/>
    <s v="M"/>
    <n v="1"/>
    <s v="low"/>
    <n v="2932"/>
    <x v="6"/>
    <s v="Tamil Nadu"/>
  </r>
  <r>
    <n v="335"/>
    <s v="ORD00335"/>
    <s v="CUST00335"/>
    <x v="1"/>
    <n v="43"/>
    <x v="1"/>
    <s v="2024-11-22"/>
    <x v="7"/>
    <x v="2"/>
    <s v="Store"/>
    <s v="Clothing"/>
    <s v="M"/>
    <n v="1"/>
    <s v="low"/>
    <n v="2259"/>
    <x v="1"/>
    <s v="Maharashtra"/>
  </r>
  <r>
    <n v="336"/>
    <s v="ORD00336"/>
    <s v="CUST00336"/>
    <x v="1"/>
    <n v="26"/>
    <x v="1"/>
    <s v="2024-06-05"/>
    <x v="8"/>
    <x v="2"/>
    <s v="Store"/>
    <s v="Shoes"/>
    <s v="XL"/>
    <n v="3"/>
    <s v="high"/>
    <n v="4728"/>
    <x v="5"/>
    <s v="Karnataka"/>
  </r>
  <r>
    <n v="337"/>
    <s v="ORD00337"/>
    <s v="CUST00337"/>
    <x v="1"/>
    <n v="35"/>
    <x v="1"/>
    <s v="2024-07-17"/>
    <x v="6"/>
    <x v="2"/>
    <s v="App"/>
    <s v="Electronics"/>
    <s v="S"/>
    <n v="3"/>
    <s v="high"/>
    <n v="7215"/>
    <x v="3"/>
    <s v="Maharashtra"/>
  </r>
  <r>
    <n v="338"/>
    <s v="ORD00338"/>
    <s v="CUST00338"/>
    <x v="1"/>
    <n v="19"/>
    <x v="0"/>
    <s v="2024-11-24"/>
    <x v="7"/>
    <x v="1"/>
    <s v="Online"/>
    <s v="Clothing"/>
    <s v="XL"/>
    <n v="4"/>
    <s v="high"/>
    <n v="5932"/>
    <x v="6"/>
    <s v="Tamil Nadu"/>
  </r>
  <r>
    <n v="339"/>
    <s v="ORD00339"/>
    <s v="CUST00339"/>
    <x v="1"/>
    <n v="42"/>
    <x v="1"/>
    <s v="2024-08-10"/>
    <x v="2"/>
    <x v="0"/>
    <s v="Online"/>
    <s v="Accessories"/>
    <s v="M"/>
    <n v="5"/>
    <s v="high"/>
    <n v="5940"/>
    <x v="7"/>
    <s v="Telangana"/>
  </r>
  <r>
    <n v="340"/>
    <s v="ORD00340"/>
    <s v="CUST00340"/>
    <x v="0"/>
    <n v="21"/>
    <x v="0"/>
    <s v="2024-04-29"/>
    <x v="0"/>
    <x v="1"/>
    <s v="App"/>
    <s v="Electronics"/>
    <s v="XL"/>
    <n v="3"/>
    <s v="high"/>
    <n v="6315"/>
    <x v="5"/>
    <s v="Karnataka"/>
  </r>
  <r>
    <n v="341"/>
    <s v="ORD00341"/>
    <s v="CUST00341"/>
    <x v="0"/>
    <n v="36"/>
    <x v="1"/>
    <s v="2024-10-22"/>
    <x v="5"/>
    <x v="2"/>
    <s v="App"/>
    <s v="Shoes"/>
    <s v="XL"/>
    <n v="3"/>
    <s v="high"/>
    <n v="8190"/>
    <x v="7"/>
    <s v="Telangana"/>
  </r>
  <r>
    <n v="342"/>
    <s v="ORD00342"/>
    <s v="CUST00342"/>
    <x v="0"/>
    <n v="60"/>
    <x v="2"/>
    <s v="2024-05-25"/>
    <x v="9"/>
    <x v="2"/>
    <s v="App"/>
    <s v="Clothing"/>
    <s v="L"/>
    <n v="2"/>
    <s v="low"/>
    <n v="1586"/>
    <x v="1"/>
    <s v="Maharashtra"/>
  </r>
  <r>
    <n v="343"/>
    <s v="ORD00343"/>
    <s v="CUST00343"/>
    <x v="1"/>
    <n v="25"/>
    <x v="1"/>
    <s v="2024-07-10"/>
    <x v="6"/>
    <x v="0"/>
    <s v="Store"/>
    <s v="Clothing"/>
    <s v="M"/>
    <n v="4"/>
    <s v="low"/>
    <n v="2668"/>
    <x v="2"/>
    <s v="Delhi"/>
  </r>
  <r>
    <n v="344"/>
    <s v="ORD00344"/>
    <s v="CUST00344"/>
    <x v="1"/>
    <n v="50"/>
    <x v="2"/>
    <s v="2024-01-06"/>
    <x v="10"/>
    <x v="2"/>
    <s v="Store"/>
    <s v="Electronics"/>
    <s v="L"/>
    <n v="2"/>
    <s v="low"/>
    <n v="1282"/>
    <x v="0"/>
    <s v="Maharashtra"/>
  </r>
  <r>
    <n v="345"/>
    <s v="ORD00345"/>
    <s v="CUST00345"/>
    <x v="1"/>
    <n v="60"/>
    <x v="2"/>
    <s v="2024-12-16"/>
    <x v="4"/>
    <x v="2"/>
    <s v="Online"/>
    <s v="Electronics"/>
    <s v="XL"/>
    <n v="3"/>
    <s v="low"/>
    <n v="1785"/>
    <x v="7"/>
    <s v="Telangana"/>
  </r>
  <r>
    <n v="346"/>
    <s v="ORD00346"/>
    <s v="CUST00346"/>
    <x v="0"/>
    <n v="27"/>
    <x v="1"/>
    <s v="2024-05-24"/>
    <x v="9"/>
    <x v="2"/>
    <s v="App"/>
    <s v="Shoes"/>
    <s v="S"/>
    <n v="5"/>
    <s v="high"/>
    <n v="8135"/>
    <x v="5"/>
    <s v="Karnataka"/>
  </r>
  <r>
    <n v="347"/>
    <s v="ORD00347"/>
    <s v="CUST00347"/>
    <x v="1"/>
    <n v="33"/>
    <x v="1"/>
    <s v="2024-10-20"/>
    <x v="5"/>
    <x v="0"/>
    <s v="Online"/>
    <s v="Clothing"/>
    <s v="L"/>
    <n v="2"/>
    <s v="low"/>
    <n v="2260"/>
    <x v="7"/>
    <s v="Telangana"/>
  </r>
  <r>
    <n v="348"/>
    <s v="ORD00348"/>
    <s v="CUST00348"/>
    <x v="0"/>
    <n v="53"/>
    <x v="2"/>
    <s v="2024-05-18"/>
    <x v="9"/>
    <x v="2"/>
    <s v="Online"/>
    <s v="Electronics"/>
    <s v="L"/>
    <n v="3"/>
    <s v="high"/>
    <n v="7155"/>
    <x v="3"/>
    <s v="Maharashtra"/>
  </r>
  <r>
    <n v="349"/>
    <s v="ORD00349"/>
    <s v="CUST00349"/>
    <x v="1"/>
    <n v="40"/>
    <x v="1"/>
    <s v="2024-03-29"/>
    <x v="11"/>
    <x v="1"/>
    <s v="App"/>
    <s v="Clothing"/>
    <s v="XL"/>
    <n v="1"/>
    <s v="low"/>
    <n v="2710"/>
    <x v="3"/>
    <s v="Maharashtra"/>
  </r>
  <r>
    <n v="350"/>
    <s v="ORD00350"/>
    <s v="CUST00350"/>
    <x v="0"/>
    <n v="26"/>
    <x v="1"/>
    <s v="2024-01-08"/>
    <x v="10"/>
    <x v="2"/>
    <s v="App"/>
    <s v="Clothing"/>
    <s v="M"/>
    <n v="5"/>
    <s v="high"/>
    <n v="12200"/>
    <x v="0"/>
    <s v="Maharashtra"/>
  </r>
  <r>
    <n v="351"/>
    <s v="ORD00351"/>
    <s v="CUST00351"/>
    <x v="1"/>
    <n v="19"/>
    <x v="0"/>
    <s v="2024-01-13"/>
    <x v="10"/>
    <x v="1"/>
    <s v="Online"/>
    <s v="Shoes"/>
    <s v="L"/>
    <n v="4"/>
    <s v="high"/>
    <n v="4316"/>
    <x v="4"/>
    <s v="Gujarat"/>
  </r>
  <r>
    <n v="352"/>
    <s v="ORD00352"/>
    <s v="CUST00352"/>
    <x v="1"/>
    <n v="33"/>
    <x v="1"/>
    <s v="2024-02-28"/>
    <x v="1"/>
    <x v="0"/>
    <s v="Store"/>
    <s v="Shoes"/>
    <s v="S"/>
    <n v="4"/>
    <s v="high"/>
    <n v="11068"/>
    <x v="3"/>
    <s v="Maharashtra"/>
  </r>
  <r>
    <n v="353"/>
    <s v="ORD00353"/>
    <s v="CUST00353"/>
    <x v="1"/>
    <n v="54"/>
    <x v="2"/>
    <s v="2024-08-22"/>
    <x v="2"/>
    <x v="2"/>
    <s v="Online"/>
    <s v="Electronics"/>
    <s v="XL"/>
    <n v="1"/>
    <s v="low"/>
    <n v="511"/>
    <x v="0"/>
    <s v="Maharashtra"/>
  </r>
  <r>
    <n v="354"/>
    <s v="ORD00354"/>
    <s v="CUST00354"/>
    <x v="1"/>
    <n v="19"/>
    <x v="0"/>
    <s v="2024-03-17"/>
    <x v="11"/>
    <x v="2"/>
    <s v="App"/>
    <s v="Electronics"/>
    <s v="M"/>
    <n v="5"/>
    <s v="high"/>
    <n v="3350"/>
    <x v="6"/>
    <s v="Tamil Nadu"/>
  </r>
  <r>
    <n v="355"/>
    <s v="ORD00355"/>
    <s v="CUST00355"/>
    <x v="0"/>
    <n v="46"/>
    <x v="2"/>
    <s v="2024-04-12"/>
    <x v="0"/>
    <x v="0"/>
    <s v="Store"/>
    <s v="Clothing"/>
    <s v="L"/>
    <n v="2"/>
    <s v="high"/>
    <n v="5310"/>
    <x v="7"/>
    <s v="Telangana"/>
  </r>
  <r>
    <n v="356"/>
    <s v="ORD00356"/>
    <s v="CUST00356"/>
    <x v="1"/>
    <n v="59"/>
    <x v="2"/>
    <s v="2024-02-20"/>
    <x v="1"/>
    <x v="0"/>
    <s v="Online"/>
    <s v="Electronics"/>
    <s v="S"/>
    <n v="5"/>
    <s v="high"/>
    <n v="9390"/>
    <x v="1"/>
    <s v="Maharashtra"/>
  </r>
  <r>
    <n v="357"/>
    <s v="ORD00357"/>
    <s v="CUST00357"/>
    <x v="0"/>
    <n v="56"/>
    <x v="2"/>
    <s v="2024-08-14"/>
    <x v="2"/>
    <x v="1"/>
    <s v="App"/>
    <s v="Electronics"/>
    <s v="L"/>
    <n v="3"/>
    <s v="low"/>
    <n v="2712"/>
    <x v="2"/>
    <s v="Delhi"/>
  </r>
  <r>
    <n v="358"/>
    <s v="ORD00358"/>
    <s v="CUST00358"/>
    <x v="0"/>
    <n v="35"/>
    <x v="1"/>
    <s v="2024-04-30"/>
    <x v="0"/>
    <x v="2"/>
    <s v="App"/>
    <s v="Shoes"/>
    <s v="XL"/>
    <n v="2"/>
    <s v="high"/>
    <n v="4142"/>
    <x v="4"/>
    <s v="Gujarat"/>
  </r>
  <r>
    <n v="359"/>
    <s v="ORD00359"/>
    <s v="CUST00359"/>
    <x v="0"/>
    <n v="36"/>
    <x v="1"/>
    <s v="2024-08-08"/>
    <x v="2"/>
    <x v="1"/>
    <s v="Online"/>
    <s v="Accessories"/>
    <s v="L"/>
    <n v="2"/>
    <s v="low"/>
    <n v="1572"/>
    <x v="7"/>
    <s v="Telangana"/>
  </r>
  <r>
    <n v="360"/>
    <s v="ORD00360"/>
    <s v="CUST00360"/>
    <x v="0"/>
    <n v="54"/>
    <x v="2"/>
    <s v="2024-03-13"/>
    <x v="11"/>
    <x v="1"/>
    <s v="App"/>
    <s v="Electronics"/>
    <s v="S"/>
    <n v="5"/>
    <s v="low"/>
    <n v="2520"/>
    <x v="4"/>
    <s v="Gujarat"/>
  </r>
  <r>
    <n v="361"/>
    <s v="ORD00361"/>
    <s v="CUST00361"/>
    <x v="0"/>
    <n v="48"/>
    <x v="2"/>
    <s v="2024-09-14"/>
    <x v="3"/>
    <x v="0"/>
    <s v="App"/>
    <s v="Clothing"/>
    <s v="L"/>
    <n v="1"/>
    <s v="low"/>
    <n v="859"/>
    <x v="4"/>
    <s v="Gujarat"/>
  </r>
  <r>
    <n v="362"/>
    <s v="ORD00362"/>
    <s v="CUST00362"/>
    <x v="1"/>
    <n v="19"/>
    <x v="0"/>
    <s v="2024-02-05"/>
    <x v="1"/>
    <x v="1"/>
    <s v="Store"/>
    <s v="Clothing"/>
    <s v="M"/>
    <n v="4"/>
    <s v="high"/>
    <n v="7196"/>
    <x v="0"/>
    <s v="Maharashtra"/>
  </r>
  <r>
    <n v="363"/>
    <s v="ORD00363"/>
    <s v="CUST00363"/>
    <x v="1"/>
    <n v="50"/>
    <x v="2"/>
    <s v="2024-03-28"/>
    <x v="11"/>
    <x v="1"/>
    <s v="Store"/>
    <s v="Shoes"/>
    <s v="XL"/>
    <n v="3"/>
    <s v="high"/>
    <n v="7107"/>
    <x v="5"/>
    <s v="Karnataka"/>
  </r>
  <r>
    <n v="364"/>
    <s v="ORD00364"/>
    <s v="CUST00364"/>
    <x v="1"/>
    <n v="46"/>
    <x v="2"/>
    <s v="2024-10-09"/>
    <x v="5"/>
    <x v="0"/>
    <s v="Online"/>
    <s v="Shoes"/>
    <s v="L"/>
    <n v="4"/>
    <s v="high"/>
    <n v="6080"/>
    <x v="4"/>
    <s v="Gujarat"/>
  </r>
  <r>
    <n v="365"/>
    <s v="ORD00365"/>
    <s v="CUST00365"/>
    <x v="0"/>
    <n v="57"/>
    <x v="2"/>
    <s v="2024-11-26"/>
    <x v="7"/>
    <x v="0"/>
    <s v="Store"/>
    <s v="Electronics"/>
    <s v="L"/>
    <n v="3"/>
    <s v="high"/>
    <n v="4344"/>
    <x v="4"/>
    <s v="Gujarat"/>
  </r>
  <r>
    <n v="366"/>
    <s v="ORD00366"/>
    <s v="CUST00366"/>
    <x v="1"/>
    <n v="26"/>
    <x v="1"/>
    <s v="2024-10-13"/>
    <x v="5"/>
    <x v="1"/>
    <s v="Store"/>
    <s v="Shoes"/>
    <s v="L"/>
    <n v="5"/>
    <s v="high"/>
    <n v="5605"/>
    <x v="5"/>
    <s v="Karnataka"/>
  </r>
  <r>
    <n v="367"/>
    <s v="ORD00367"/>
    <s v="CUST00367"/>
    <x v="1"/>
    <n v="29"/>
    <x v="1"/>
    <s v="2024-12-12"/>
    <x v="4"/>
    <x v="2"/>
    <s v="App"/>
    <s v="Accessories"/>
    <s v="L"/>
    <n v="3"/>
    <s v="high"/>
    <n v="7074"/>
    <x v="5"/>
    <s v="Karnataka"/>
  </r>
  <r>
    <n v="368"/>
    <s v="ORD00368"/>
    <s v="CUST00368"/>
    <x v="1"/>
    <n v="60"/>
    <x v="2"/>
    <s v="2024-11-05"/>
    <x v="7"/>
    <x v="0"/>
    <s v="Store"/>
    <s v="Shoes"/>
    <s v="M"/>
    <n v="1"/>
    <s v="low"/>
    <n v="2384"/>
    <x v="4"/>
    <s v="Gujarat"/>
  </r>
  <r>
    <n v="369"/>
    <s v="ORD00369"/>
    <s v="CUST00369"/>
    <x v="0"/>
    <n v="35"/>
    <x v="1"/>
    <s v="2024-06-13"/>
    <x v="8"/>
    <x v="1"/>
    <s v="App"/>
    <s v="Shoes"/>
    <s v="XL"/>
    <n v="1"/>
    <s v="low"/>
    <n v="1994"/>
    <x v="1"/>
    <s v="Maharashtra"/>
  </r>
  <r>
    <n v="370"/>
    <s v="ORD00370"/>
    <s v="CUST00370"/>
    <x v="1"/>
    <n v="55"/>
    <x v="2"/>
    <s v="2024-11-27"/>
    <x v="7"/>
    <x v="0"/>
    <s v="Store"/>
    <s v="Clothing"/>
    <s v="XL"/>
    <n v="4"/>
    <s v="high"/>
    <n v="4372"/>
    <x v="2"/>
    <s v="Delhi"/>
  </r>
  <r>
    <n v="371"/>
    <s v="ORD00371"/>
    <s v="CUST00371"/>
    <x v="1"/>
    <n v="30"/>
    <x v="1"/>
    <s v="2024-08-16"/>
    <x v="2"/>
    <x v="2"/>
    <s v="App"/>
    <s v="Clothing"/>
    <s v="XL"/>
    <n v="4"/>
    <s v="high"/>
    <n v="9852"/>
    <x v="6"/>
    <s v="Tamil Nadu"/>
  </r>
  <r>
    <n v="372"/>
    <s v="ORD00372"/>
    <s v="CUST00372"/>
    <x v="1"/>
    <n v="45"/>
    <x v="1"/>
    <s v="2024-01-24"/>
    <x v="10"/>
    <x v="1"/>
    <s v="Store"/>
    <s v="Accessories"/>
    <s v="XL"/>
    <n v="2"/>
    <s v="low"/>
    <n v="1062"/>
    <x v="0"/>
    <s v="Maharashtra"/>
  </r>
  <r>
    <n v="373"/>
    <s v="ORD00373"/>
    <s v="CUST00373"/>
    <x v="0"/>
    <n v="37"/>
    <x v="1"/>
    <s v="2024-12-06"/>
    <x v="4"/>
    <x v="0"/>
    <s v="App"/>
    <s v="Shoes"/>
    <s v="XL"/>
    <n v="4"/>
    <s v="high"/>
    <n v="3196"/>
    <x v="5"/>
    <s v="Karnataka"/>
  </r>
  <r>
    <n v="374"/>
    <s v="ORD00374"/>
    <s v="CUST00374"/>
    <x v="1"/>
    <n v="50"/>
    <x v="2"/>
    <s v="2024-05-10"/>
    <x v="9"/>
    <x v="1"/>
    <s v="Online"/>
    <s v="Electronics"/>
    <s v="L"/>
    <n v="3"/>
    <s v="high"/>
    <n v="7473"/>
    <x v="5"/>
    <s v="Karnataka"/>
  </r>
  <r>
    <n v="375"/>
    <s v="ORD00375"/>
    <s v="CUST00375"/>
    <x v="0"/>
    <n v="28"/>
    <x v="1"/>
    <s v="2024-01-24"/>
    <x v="10"/>
    <x v="2"/>
    <s v="Online"/>
    <s v="Clothing"/>
    <s v="M"/>
    <n v="3"/>
    <s v="high"/>
    <n v="5139"/>
    <x v="7"/>
    <s v="Telangana"/>
  </r>
  <r>
    <n v="376"/>
    <s v="ORD00376"/>
    <s v="CUST00376"/>
    <x v="0"/>
    <n v="27"/>
    <x v="1"/>
    <s v="2024-05-23"/>
    <x v="9"/>
    <x v="1"/>
    <s v="Online"/>
    <s v="Shoes"/>
    <s v="M"/>
    <n v="2"/>
    <s v="high"/>
    <n v="3240"/>
    <x v="5"/>
    <s v="Karnataka"/>
  </r>
  <r>
    <n v="377"/>
    <s v="ORD00377"/>
    <s v="CUST00377"/>
    <x v="1"/>
    <n v="18"/>
    <x v="0"/>
    <s v="2024-07-13"/>
    <x v="6"/>
    <x v="0"/>
    <s v="Online"/>
    <s v="Shoes"/>
    <s v="M"/>
    <n v="3"/>
    <s v="high"/>
    <n v="6234"/>
    <x v="1"/>
    <s v="Maharashtra"/>
  </r>
  <r>
    <n v="378"/>
    <s v="ORD00378"/>
    <s v="CUST00378"/>
    <x v="0"/>
    <n v="41"/>
    <x v="1"/>
    <s v="2024-10-19"/>
    <x v="5"/>
    <x v="2"/>
    <s v="Store"/>
    <s v="Electronics"/>
    <s v="S"/>
    <n v="1"/>
    <s v="low"/>
    <n v="2209"/>
    <x v="1"/>
    <s v="Maharashtra"/>
  </r>
  <r>
    <n v="379"/>
    <s v="ORD00379"/>
    <s v="CUST00379"/>
    <x v="1"/>
    <n v="56"/>
    <x v="2"/>
    <s v="2024-10-25"/>
    <x v="5"/>
    <x v="0"/>
    <s v="App"/>
    <s v="Accessories"/>
    <s v="S"/>
    <n v="1"/>
    <s v="low"/>
    <n v="2473"/>
    <x v="2"/>
    <s v="Delhi"/>
  </r>
  <r>
    <n v="380"/>
    <s v="ORD00380"/>
    <s v="CUST00380"/>
    <x v="1"/>
    <n v="55"/>
    <x v="2"/>
    <s v="2024-07-26"/>
    <x v="6"/>
    <x v="2"/>
    <s v="Online"/>
    <s v="Shoes"/>
    <s v="M"/>
    <n v="1"/>
    <s v="low"/>
    <n v="2652"/>
    <x v="1"/>
    <s v="Maharashtra"/>
  </r>
  <r>
    <n v="381"/>
    <s v="ORD00381"/>
    <s v="CUST00381"/>
    <x v="1"/>
    <n v="30"/>
    <x v="1"/>
    <s v="2024-08-31"/>
    <x v="2"/>
    <x v="2"/>
    <s v="App"/>
    <s v="Clothing"/>
    <s v="S"/>
    <n v="5"/>
    <s v="high"/>
    <n v="14305"/>
    <x v="4"/>
    <s v="Gujarat"/>
  </r>
  <r>
    <n v="382"/>
    <s v="ORD00382"/>
    <s v="CUST00382"/>
    <x v="0"/>
    <n v="35"/>
    <x v="1"/>
    <s v="2024-03-15"/>
    <x v="11"/>
    <x v="2"/>
    <s v="Store"/>
    <s v="Electronics"/>
    <s v="L"/>
    <n v="3"/>
    <s v="high"/>
    <n v="4767"/>
    <x v="2"/>
    <s v="Delhi"/>
  </r>
  <r>
    <n v="383"/>
    <s v="ORD00383"/>
    <s v="CUST00383"/>
    <x v="0"/>
    <n v="43"/>
    <x v="1"/>
    <s v="2024-10-02"/>
    <x v="5"/>
    <x v="0"/>
    <s v="Store"/>
    <s v="Clothing"/>
    <s v="S"/>
    <n v="4"/>
    <s v="high"/>
    <n v="9012"/>
    <x v="7"/>
    <s v="Telangana"/>
  </r>
  <r>
    <n v="384"/>
    <s v="ORD00384"/>
    <s v="CUST00384"/>
    <x v="1"/>
    <n v="40"/>
    <x v="1"/>
    <s v="2024-07-17"/>
    <x v="6"/>
    <x v="0"/>
    <s v="App"/>
    <s v="Electronics"/>
    <s v="L"/>
    <n v="3"/>
    <s v="high"/>
    <n v="4182"/>
    <x v="2"/>
    <s v="Delhi"/>
  </r>
  <r>
    <n v="385"/>
    <s v="ORD00385"/>
    <s v="CUST00385"/>
    <x v="0"/>
    <n v="20"/>
    <x v="0"/>
    <s v="2024-11-25"/>
    <x v="7"/>
    <x v="2"/>
    <s v="Online"/>
    <s v="Clothing"/>
    <s v="M"/>
    <n v="4"/>
    <s v="low"/>
    <n v="2408"/>
    <x v="3"/>
    <s v="Maharashtra"/>
  </r>
  <r>
    <n v="386"/>
    <s v="ORD00386"/>
    <s v="CUST00386"/>
    <x v="1"/>
    <n v="23"/>
    <x v="0"/>
    <s v="2024-01-23"/>
    <x v="10"/>
    <x v="2"/>
    <s v="App"/>
    <s v="Accessories"/>
    <s v="XL"/>
    <n v="1"/>
    <s v="low"/>
    <n v="581"/>
    <x v="6"/>
    <s v="Tamil Nadu"/>
  </r>
  <r>
    <n v="387"/>
    <s v="ORD00387"/>
    <s v="CUST00387"/>
    <x v="1"/>
    <n v="23"/>
    <x v="0"/>
    <s v="2024-09-26"/>
    <x v="3"/>
    <x v="1"/>
    <s v="App"/>
    <s v="Electronics"/>
    <s v="L"/>
    <n v="4"/>
    <s v="high"/>
    <n v="6140"/>
    <x v="2"/>
    <s v="Delhi"/>
  </r>
  <r>
    <n v="388"/>
    <s v="ORD00388"/>
    <s v="CUST00388"/>
    <x v="1"/>
    <n v="27"/>
    <x v="1"/>
    <s v="2024-07-25"/>
    <x v="6"/>
    <x v="1"/>
    <s v="Online"/>
    <s v="Shoes"/>
    <s v="M"/>
    <n v="1"/>
    <s v="low"/>
    <n v="2319"/>
    <x v="4"/>
    <s v="Gujarat"/>
  </r>
  <r>
    <n v="389"/>
    <s v="ORD00389"/>
    <s v="CUST00389"/>
    <x v="1"/>
    <n v="23"/>
    <x v="0"/>
    <s v="2024-10-31"/>
    <x v="5"/>
    <x v="2"/>
    <s v="Online"/>
    <s v="Electronics"/>
    <s v="L"/>
    <n v="3"/>
    <s v="high"/>
    <n v="3834"/>
    <x v="6"/>
    <s v="Tamil Nadu"/>
  </r>
  <r>
    <n v="390"/>
    <s v="ORD00390"/>
    <s v="CUST00390"/>
    <x v="0"/>
    <n v="47"/>
    <x v="2"/>
    <s v="2024-06-17"/>
    <x v="8"/>
    <x v="1"/>
    <s v="App"/>
    <s v="Shoes"/>
    <s v="L"/>
    <n v="1"/>
    <s v="low"/>
    <n v="1457"/>
    <x v="4"/>
    <s v="Gujarat"/>
  </r>
  <r>
    <n v="391"/>
    <s v="ORD00391"/>
    <s v="CUST00391"/>
    <x v="0"/>
    <n v="60"/>
    <x v="2"/>
    <s v="2024-03-25"/>
    <x v="11"/>
    <x v="1"/>
    <s v="Online"/>
    <s v="Electronics"/>
    <s v="L"/>
    <n v="5"/>
    <s v="high"/>
    <n v="13745"/>
    <x v="3"/>
    <s v="Maharashtra"/>
  </r>
  <r>
    <n v="392"/>
    <s v="ORD00392"/>
    <s v="CUST00392"/>
    <x v="1"/>
    <n v="48"/>
    <x v="2"/>
    <s v="2024-11-06"/>
    <x v="7"/>
    <x v="2"/>
    <s v="App"/>
    <s v="Electronics"/>
    <s v="S"/>
    <n v="3"/>
    <s v="high"/>
    <n v="8241"/>
    <x v="7"/>
    <s v="Telangana"/>
  </r>
  <r>
    <n v="393"/>
    <s v="ORD00393"/>
    <s v="CUST00393"/>
    <x v="0"/>
    <n v="23"/>
    <x v="0"/>
    <s v="2024-05-18"/>
    <x v="9"/>
    <x v="2"/>
    <s v="App"/>
    <s v="Clothing"/>
    <s v="M"/>
    <n v="5"/>
    <s v="high"/>
    <n v="12490"/>
    <x v="1"/>
    <s v="Maharashtra"/>
  </r>
  <r>
    <n v="394"/>
    <s v="ORD00394"/>
    <s v="CUST00394"/>
    <x v="1"/>
    <n v="59"/>
    <x v="2"/>
    <s v="2024-05-06"/>
    <x v="9"/>
    <x v="1"/>
    <s v="Online"/>
    <s v="Shoes"/>
    <s v="XL"/>
    <n v="5"/>
    <s v="high"/>
    <n v="7130"/>
    <x v="7"/>
    <s v="Telangana"/>
  </r>
  <r>
    <n v="395"/>
    <s v="ORD00395"/>
    <s v="CUST00395"/>
    <x v="0"/>
    <n v="60"/>
    <x v="2"/>
    <s v="2024-11-12"/>
    <x v="7"/>
    <x v="1"/>
    <s v="Store"/>
    <s v="Clothing"/>
    <s v="L"/>
    <n v="2"/>
    <s v="high"/>
    <n v="5132"/>
    <x v="7"/>
    <s v="Telangana"/>
  </r>
  <r>
    <n v="396"/>
    <s v="ORD00396"/>
    <s v="CUST00396"/>
    <x v="0"/>
    <n v="29"/>
    <x v="1"/>
    <s v="2024-08-09"/>
    <x v="2"/>
    <x v="1"/>
    <s v="Store"/>
    <s v="Accessories"/>
    <s v="XL"/>
    <n v="5"/>
    <s v="high"/>
    <n v="7330"/>
    <x v="3"/>
    <s v="Maharashtra"/>
  </r>
  <r>
    <n v="397"/>
    <s v="ORD00397"/>
    <s v="CUST00397"/>
    <x v="1"/>
    <n v="27"/>
    <x v="1"/>
    <s v="2024-02-24"/>
    <x v="1"/>
    <x v="2"/>
    <s v="Store"/>
    <s v="Electronics"/>
    <s v="XL"/>
    <n v="4"/>
    <s v="high"/>
    <n v="6436"/>
    <x v="2"/>
    <s v="Delhi"/>
  </r>
  <r>
    <n v="398"/>
    <s v="ORD00398"/>
    <s v="CUST00398"/>
    <x v="0"/>
    <n v="20"/>
    <x v="0"/>
    <s v="2024-01-25"/>
    <x v="10"/>
    <x v="1"/>
    <s v="Online"/>
    <s v="Shoes"/>
    <s v="L"/>
    <n v="3"/>
    <s v="low"/>
    <n v="2316"/>
    <x v="6"/>
    <s v="Tamil Nadu"/>
  </r>
  <r>
    <n v="399"/>
    <s v="ORD00399"/>
    <s v="CUST00399"/>
    <x v="1"/>
    <n v="30"/>
    <x v="1"/>
    <s v="2024-11-04"/>
    <x v="7"/>
    <x v="1"/>
    <s v="App"/>
    <s v="Shoes"/>
    <s v="M"/>
    <n v="1"/>
    <s v="low"/>
    <n v="2415"/>
    <x v="5"/>
    <s v="Karnataka"/>
  </r>
  <r>
    <n v="400"/>
    <s v="ORD00400"/>
    <s v="CUST00400"/>
    <x v="0"/>
    <n v="43"/>
    <x v="1"/>
    <s v="2024-12-26"/>
    <x v="4"/>
    <x v="2"/>
    <s v="Online"/>
    <s v="Shoes"/>
    <s v="S"/>
    <n v="2"/>
    <s v="low"/>
    <n v="2734"/>
    <x v="0"/>
    <s v="Maharashtra"/>
  </r>
  <r>
    <n v="401"/>
    <s v="ORD00401"/>
    <s v="CUST00401"/>
    <x v="0"/>
    <n v="26"/>
    <x v="1"/>
    <s v="2024-12-06"/>
    <x v="4"/>
    <x v="2"/>
    <s v="Store"/>
    <s v="Shoes"/>
    <s v="M"/>
    <n v="4"/>
    <s v="high"/>
    <n v="8760"/>
    <x v="3"/>
    <s v="Maharashtra"/>
  </r>
  <r>
    <n v="402"/>
    <s v="ORD00402"/>
    <s v="CUST00402"/>
    <x v="0"/>
    <n v="55"/>
    <x v="2"/>
    <s v="2024-01-08"/>
    <x v="10"/>
    <x v="2"/>
    <s v="Online"/>
    <s v="Accessories"/>
    <s v="M"/>
    <n v="1"/>
    <s v="low"/>
    <n v="2836"/>
    <x v="4"/>
    <s v="Gujarat"/>
  </r>
  <r>
    <n v="403"/>
    <s v="ORD00403"/>
    <s v="CUST00403"/>
    <x v="1"/>
    <n v="31"/>
    <x v="1"/>
    <s v="2024-06-01"/>
    <x v="8"/>
    <x v="0"/>
    <s v="Store"/>
    <s v="Shoes"/>
    <s v="XL"/>
    <n v="4"/>
    <s v="high"/>
    <n v="4972"/>
    <x v="7"/>
    <s v="Telangana"/>
  </r>
  <r>
    <n v="404"/>
    <s v="ORD00404"/>
    <s v="CUST00404"/>
    <x v="1"/>
    <n v="27"/>
    <x v="1"/>
    <s v="2024-10-01"/>
    <x v="5"/>
    <x v="0"/>
    <s v="Store"/>
    <s v="Shoes"/>
    <s v="M"/>
    <n v="3"/>
    <s v="high"/>
    <n v="8952"/>
    <x v="3"/>
    <s v="Maharashtra"/>
  </r>
  <r>
    <n v="405"/>
    <s v="ORD00405"/>
    <s v="CUST00405"/>
    <x v="0"/>
    <n v="30"/>
    <x v="1"/>
    <s v="2024-09-17"/>
    <x v="3"/>
    <x v="1"/>
    <s v="App"/>
    <s v="Accessories"/>
    <s v="L"/>
    <n v="2"/>
    <s v="high"/>
    <n v="4198"/>
    <x v="4"/>
    <s v="Gujarat"/>
  </r>
  <r>
    <n v="406"/>
    <s v="ORD00406"/>
    <s v="CUST00406"/>
    <x v="1"/>
    <n v="53"/>
    <x v="2"/>
    <s v="2024-03-04"/>
    <x v="11"/>
    <x v="2"/>
    <s v="App"/>
    <s v="Accessories"/>
    <s v="M"/>
    <n v="4"/>
    <s v="high"/>
    <n v="5544"/>
    <x v="2"/>
    <s v="Delhi"/>
  </r>
  <r>
    <n v="407"/>
    <s v="ORD00407"/>
    <s v="CUST00407"/>
    <x v="0"/>
    <n v="38"/>
    <x v="1"/>
    <s v="2024-02-18"/>
    <x v="1"/>
    <x v="0"/>
    <s v="App"/>
    <s v="Accessories"/>
    <s v="S"/>
    <n v="4"/>
    <s v="high"/>
    <n v="10176"/>
    <x v="3"/>
    <s v="Maharashtra"/>
  </r>
  <r>
    <n v="408"/>
    <s v="ORD00408"/>
    <s v="CUST00408"/>
    <x v="0"/>
    <n v="49"/>
    <x v="2"/>
    <s v="2024-01-26"/>
    <x v="10"/>
    <x v="2"/>
    <s v="Store"/>
    <s v="Accessories"/>
    <s v="XL"/>
    <n v="4"/>
    <s v="high"/>
    <n v="8460"/>
    <x v="1"/>
    <s v="Maharashtra"/>
  </r>
  <r>
    <n v="409"/>
    <s v="ORD00409"/>
    <s v="CUST00409"/>
    <x v="0"/>
    <n v="48"/>
    <x v="2"/>
    <s v="2024-05-11"/>
    <x v="9"/>
    <x v="2"/>
    <s v="Store"/>
    <s v="Clothing"/>
    <s v="M"/>
    <n v="4"/>
    <s v="high"/>
    <n v="6788"/>
    <x v="6"/>
    <s v="Tamil Nadu"/>
  </r>
  <r>
    <n v="410"/>
    <s v="ORD00410"/>
    <s v="CUST00410"/>
    <x v="1"/>
    <n v="18"/>
    <x v="0"/>
    <s v="2024-08-06"/>
    <x v="2"/>
    <x v="2"/>
    <s v="Store"/>
    <s v="Shoes"/>
    <s v="L"/>
    <n v="4"/>
    <s v="high"/>
    <n v="5408"/>
    <x v="1"/>
    <s v="Maharashtra"/>
  </r>
  <r>
    <n v="411"/>
    <s v="ORD00411"/>
    <s v="CUST00411"/>
    <x v="0"/>
    <n v="21"/>
    <x v="0"/>
    <s v="2024-03-28"/>
    <x v="11"/>
    <x v="1"/>
    <s v="App"/>
    <s v="Accessories"/>
    <s v="L"/>
    <n v="2"/>
    <s v="low"/>
    <n v="1330"/>
    <x v="0"/>
    <s v="Maharashtra"/>
  </r>
  <r>
    <n v="412"/>
    <s v="ORD00412"/>
    <s v="CUST00412"/>
    <x v="1"/>
    <n v="20"/>
    <x v="0"/>
    <s v="2024-08-01"/>
    <x v="2"/>
    <x v="0"/>
    <s v="App"/>
    <s v="Shoes"/>
    <s v="L"/>
    <n v="4"/>
    <s v="high"/>
    <n v="5024"/>
    <x v="2"/>
    <s v="Delhi"/>
  </r>
  <r>
    <n v="413"/>
    <s v="ORD00413"/>
    <s v="CUST00413"/>
    <x v="1"/>
    <n v="37"/>
    <x v="1"/>
    <s v="2024-11-02"/>
    <x v="7"/>
    <x v="1"/>
    <s v="App"/>
    <s v="Accessories"/>
    <s v="XL"/>
    <n v="3"/>
    <s v="high"/>
    <n v="7725"/>
    <x v="5"/>
    <s v="Karnataka"/>
  </r>
  <r>
    <n v="414"/>
    <s v="ORD00414"/>
    <s v="CUST00414"/>
    <x v="1"/>
    <n v="58"/>
    <x v="2"/>
    <s v="2024-02-06"/>
    <x v="1"/>
    <x v="0"/>
    <s v="App"/>
    <s v="Shoes"/>
    <s v="L"/>
    <n v="4"/>
    <s v="high"/>
    <n v="8100"/>
    <x v="1"/>
    <s v="Maharashtra"/>
  </r>
  <r>
    <n v="415"/>
    <s v="ORD00415"/>
    <s v="CUST00415"/>
    <x v="1"/>
    <n v="31"/>
    <x v="1"/>
    <s v="2024-07-14"/>
    <x v="6"/>
    <x v="2"/>
    <s v="App"/>
    <s v="Clothing"/>
    <s v="S"/>
    <n v="5"/>
    <s v="high"/>
    <n v="6985"/>
    <x v="1"/>
    <s v="Maharashtra"/>
  </r>
  <r>
    <n v="416"/>
    <s v="ORD00416"/>
    <s v="CUST00416"/>
    <x v="0"/>
    <n v="34"/>
    <x v="1"/>
    <s v="2024-05-22"/>
    <x v="9"/>
    <x v="1"/>
    <s v="Store"/>
    <s v="Clothing"/>
    <s v="M"/>
    <n v="4"/>
    <s v="low"/>
    <n v="2836"/>
    <x v="0"/>
    <s v="Maharashtra"/>
  </r>
  <r>
    <n v="417"/>
    <s v="ORD00417"/>
    <s v="CUST00417"/>
    <x v="0"/>
    <n v="38"/>
    <x v="1"/>
    <s v="2024-03-31"/>
    <x v="11"/>
    <x v="0"/>
    <s v="Online"/>
    <s v="Electronics"/>
    <s v="S"/>
    <n v="5"/>
    <s v="high"/>
    <n v="5225"/>
    <x v="1"/>
    <s v="Maharashtra"/>
  </r>
  <r>
    <n v="418"/>
    <s v="ORD00418"/>
    <s v="CUST00418"/>
    <x v="0"/>
    <n v="18"/>
    <x v="0"/>
    <s v="2024-12-09"/>
    <x v="4"/>
    <x v="2"/>
    <s v="Online"/>
    <s v="Accessories"/>
    <s v="L"/>
    <n v="4"/>
    <s v="high"/>
    <n v="6184"/>
    <x v="5"/>
    <s v="Karnataka"/>
  </r>
  <r>
    <n v="419"/>
    <s v="ORD00419"/>
    <s v="CUST00419"/>
    <x v="1"/>
    <n v="35"/>
    <x v="1"/>
    <s v="2024-04-12"/>
    <x v="0"/>
    <x v="0"/>
    <s v="Online"/>
    <s v="Electronics"/>
    <s v="XL"/>
    <n v="5"/>
    <s v="high"/>
    <n v="3985"/>
    <x v="0"/>
    <s v="Maharashtra"/>
  </r>
  <r>
    <n v="420"/>
    <s v="ORD00420"/>
    <s v="CUST00420"/>
    <x v="0"/>
    <n v="53"/>
    <x v="2"/>
    <s v="2024-07-11"/>
    <x v="6"/>
    <x v="2"/>
    <s v="Store"/>
    <s v="Electronics"/>
    <s v="XL"/>
    <n v="5"/>
    <s v="high"/>
    <n v="12965"/>
    <x v="1"/>
    <s v="Maharashtra"/>
  </r>
  <r>
    <n v="421"/>
    <s v="ORD00421"/>
    <s v="CUST00421"/>
    <x v="0"/>
    <n v="56"/>
    <x v="2"/>
    <s v="2024-09-22"/>
    <x v="3"/>
    <x v="2"/>
    <s v="Online"/>
    <s v="Shoes"/>
    <s v="M"/>
    <n v="1"/>
    <s v="low"/>
    <n v="744"/>
    <x v="4"/>
    <s v="Gujarat"/>
  </r>
  <r>
    <n v="422"/>
    <s v="ORD00422"/>
    <s v="CUST00422"/>
    <x v="0"/>
    <n v="58"/>
    <x v="2"/>
    <s v="2024-05-07"/>
    <x v="9"/>
    <x v="0"/>
    <s v="Store"/>
    <s v="Clothing"/>
    <s v="L"/>
    <n v="3"/>
    <s v="high"/>
    <n v="4443"/>
    <x v="3"/>
    <s v="Maharashtra"/>
  </r>
  <r>
    <n v="423"/>
    <s v="ORD00423"/>
    <s v="CUST00423"/>
    <x v="1"/>
    <n v="59"/>
    <x v="2"/>
    <s v="2024-03-26"/>
    <x v="11"/>
    <x v="1"/>
    <s v="App"/>
    <s v="Accessories"/>
    <s v="M"/>
    <n v="4"/>
    <s v="high"/>
    <n v="7772"/>
    <x v="6"/>
    <s v="Tamil Nadu"/>
  </r>
  <r>
    <n v="424"/>
    <s v="ORD00424"/>
    <s v="CUST00424"/>
    <x v="0"/>
    <n v="32"/>
    <x v="1"/>
    <s v="2024-01-08"/>
    <x v="10"/>
    <x v="1"/>
    <s v="App"/>
    <s v="Shoes"/>
    <s v="XL"/>
    <n v="3"/>
    <s v="low"/>
    <n v="2085"/>
    <x v="4"/>
    <s v="Gujarat"/>
  </r>
  <r>
    <n v="425"/>
    <s v="ORD00425"/>
    <s v="CUST00425"/>
    <x v="0"/>
    <n v="22"/>
    <x v="0"/>
    <s v="2024-03-11"/>
    <x v="11"/>
    <x v="2"/>
    <s v="Online"/>
    <s v="Shoes"/>
    <s v="XL"/>
    <n v="1"/>
    <s v="low"/>
    <n v="2903"/>
    <x v="0"/>
    <s v="Maharashtra"/>
  </r>
  <r>
    <n v="426"/>
    <s v="ORD00426"/>
    <s v="CUST00426"/>
    <x v="0"/>
    <n v="55"/>
    <x v="2"/>
    <s v="2024-10-10"/>
    <x v="5"/>
    <x v="0"/>
    <s v="Store"/>
    <s v="Clothing"/>
    <s v="M"/>
    <n v="2"/>
    <s v="high"/>
    <n v="5212"/>
    <x v="3"/>
    <s v="Maharashtra"/>
  </r>
  <r>
    <n v="427"/>
    <s v="ORD00427"/>
    <s v="CUST00427"/>
    <x v="1"/>
    <n v="60"/>
    <x v="2"/>
    <s v="2024-01-06"/>
    <x v="10"/>
    <x v="1"/>
    <s v="Store"/>
    <s v="Clothing"/>
    <s v="S"/>
    <n v="2"/>
    <s v="low"/>
    <n v="2800"/>
    <x v="7"/>
    <s v="Telangana"/>
  </r>
  <r>
    <n v="428"/>
    <s v="ORD00428"/>
    <s v="CUST00428"/>
    <x v="0"/>
    <n v="34"/>
    <x v="1"/>
    <s v="2024-02-29"/>
    <x v="1"/>
    <x v="1"/>
    <s v="App"/>
    <s v="Electronics"/>
    <s v="M"/>
    <n v="4"/>
    <s v="high"/>
    <n v="11072"/>
    <x v="3"/>
    <s v="Maharashtra"/>
  </r>
  <r>
    <n v="429"/>
    <s v="ORD00429"/>
    <s v="CUST00429"/>
    <x v="0"/>
    <n v="58"/>
    <x v="2"/>
    <s v="2024-07-08"/>
    <x v="6"/>
    <x v="2"/>
    <s v="Online"/>
    <s v="Accessories"/>
    <s v="L"/>
    <n v="5"/>
    <s v="high"/>
    <n v="9785"/>
    <x v="0"/>
    <s v="Maharashtra"/>
  </r>
  <r>
    <n v="430"/>
    <s v="ORD00430"/>
    <s v="CUST00430"/>
    <x v="1"/>
    <n v="44"/>
    <x v="1"/>
    <s v="2024-01-23"/>
    <x v="10"/>
    <x v="0"/>
    <s v="Online"/>
    <s v="Electronics"/>
    <s v="L"/>
    <n v="4"/>
    <s v="high"/>
    <n v="4992"/>
    <x v="5"/>
    <s v="Karnataka"/>
  </r>
  <r>
    <n v="431"/>
    <s v="ORD00431"/>
    <s v="CUST00431"/>
    <x v="0"/>
    <n v="29"/>
    <x v="1"/>
    <s v="2024-10-07"/>
    <x v="5"/>
    <x v="2"/>
    <s v="Online"/>
    <s v="Accessories"/>
    <s v="M"/>
    <n v="5"/>
    <s v="low"/>
    <n v="2500"/>
    <x v="7"/>
    <s v="Telangana"/>
  </r>
  <r>
    <n v="432"/>
    <s v="ORD00432"/>
    <s v="CUST00432"/>
    <x v="1"/>
    <n v="20"/>
    <x v="0"/>
    <s v="2024-02-11"/>
    <x v="1"/>
    <x v="0"/>
    <s v="Online"/>
    <s v="Shoes"/>
    <s v="L"/>
    <n v="2"/>
    <s v="low"/>
    <n v="2132"/>
    <x v="4"/>
    <s v="Gujarat"/>
  </r>
  <r>
    <n v="433"/>
    <s v="ORD00433"/>
    <s v="CUST00433"/>
    <x v="1"/>
    <n v="39"/>
    <x v="1"/>
    <s v="2024-09-06"/>
    <x v="3"/>
    <x v="2"/>
    <s v="App"/>
    <s v="Shoes"/>
    <s v="XL"/>
    <n v="5"/>
    <s v="high"/>
    <n v="11340"/>
    <x v="0"/>
    <s v="Maharashtra"/>
  </r>
  <r>
    <n v="434"/>
    <s v="ORD00434"/>
    <s v="CUST00434"/>
    <x v="1"/>
    <n v="42"/>
    <x v="1"/>
    <s v="2024-07-05"/>
    <x v="6"/>
    <x v="0"/>
    <s v="App"/>
    <s v="Electronics"/>
    <s v="S"/>
    <n v="5"/>
    <s v="high"/>
    <n v="12750"/>
    <x v="0"/>
    <s v="Maharashtra"/>
  </r>
  <r>
    <n v="435"/>
    <s v="ORD00435"/>
    <s v="CUST00435"/>
    <x v="1"/>
    <n v="36"/>
    <x v="1"/>
    <s v="2024-11-30"/>
    <x v="7"/>
    <x v="2"/>
    <s v="Store"/>
    <s v="Shoes"/>
    <s v="M"/>
    <n v="1"/>
    <s v="low"/>
    <n v="2011"/>
    <x v="0"/>
    <s v="Maharashtra"/>
  </r>
  <r>
    <n v="436"/>
    <s v="ORD00436"/>
    <s v="CUST00436"/>
    <x v="1"/>
    <n v="21"/>
    <x v="0"/>
    <s v="2024-12-25"/>
    <x v="4"/>
    <x v="1"/>
    <s v="Online"/>
    <s v="Clothing"/>
    <s v="S"/>
    <n v="2"/>
    <s v="high"/>
    <n v="5482"/>
    <x v="7"/>
    <s v="Telangana"/>
  </r>
  <r>
    <n v="437"/>
    <s v="ORD00437"/>
    <s v="CUST00437"/>
    <x v="0"/>
    <n v="57"/>
    <x v="2"/>
    <s v="2024-11-28"/>
    <x v="7"/>
    <x v="0"/>
    <s v="Online"/>
    <s v="Clothing"/>
    <s v="L"/>
    <n v="4"/>
    <s v="high"/>
    <n v="6944"/>
    <x v="0"/>
    <s v="Maharashtra"/>
  </r>
  <r>
    <n v="438"/>
    <s v="ORD00438"/>
    <s v="CUST00438"/>
    <x v="0"/>
    <n v="24"/>
    <x v="0"/>
    <s v="2024-05-06"/>
    <x v="9"/>
    <x v="0"/>
    <s v="Store"/>
    <s v="Electronics"/>
    <s v="L"/>
    <n v="1"/>
    <s v="low"/>
    <n v="1779"/>
    <x v="6"/>
    <s v="Tamil Nadu"/>
  </r>
  <r>
    <n v="439"/>
    <s v="ORD00439"/>
    <s v="CUST00439"/>
    <x v="1"/>
    <n v="40"/>
    <x v="1"/>
    <s v="2024-10-12"/>
    <x v="5"/>
    <x v="2"/>
    <s v="Store"/>
    <s v="Electronics"/>
    <s v="M"/>
    <n v="5"/>
    <s v="high"/>
    <n v="3970"/>
    <x v="1"/>
    <s v="Maharashtra"/>
  </r>
  <r>
    <n v="440"/>
    <s v="ORD00440"/>
    <s v="CUST00440"/>
    <x v="1"/>
    <n v="39"/>
    <x v="1"/>
    <s v="2024-01-21"/>
    <x v="10"/>
    <x v="0"/>
    <s v="Online"/>
    <s v="Electronics"/>
    <s v="XL"/>
    <n v="3"/>
    <s v="high"/>
    <n v="7674"/>
    <x v="2"/>
    <s v="Delhi"/>
  </r>
  <r>
    <n v="441"/>
    <s v="ORD00441"/>
    <s v="CUST00441"/>
    <x v="1"/>
    <n v="43"/>
    <x v="1"/>
    <s v="2024-06-03"/>
    <x v="8"/>
    <x v="1"/>
    <s v="Online"/>
    <s v="Shoes"/>
    <s v="L"/>
    <n v="3"/>
    <s v="high"/>
    <n v="4782"/>
    <x v="1"/>
    <s v="Maharashtra"/>
  </r>
  <r>
    <n v="442"/>
    <s v="ORD00442"/>
    <s v="CUST00442"/>
    <x v="1"/>
    <n v="41"/>
    <x v="1"/>
    <s v="2024-02-24"/>
    <x v="1"/>
    <x v="0"/>
    <s v="Online"/>
    <s v="Clothing"/>
    <s v="XL"/>
    <n v="5"/>
    <s v="high"/>
    <n v="13960"/>
    <x v="5"/>
    <s v="Karnataka"/>
  </r>
  <r>
    <n v="443"/>
    <s v="ORD00443"/>
    <s v="CUST00443"/>
    <x v="1"/>
    <n v="42"/>
    <x v="1"/>
    <s v="2024-12-21"/>
    <x v="4"/>
    <x v="1"/>
    <s v="App"/>
    <s v="Shoes"/>
    <s v="XL"/>
    <n v="1"/>
    <s v="low"/>
    <n v="755"/>
    <x v="0"/>
    <s v="Maharashtra"/>
  </r>
  <r>
    <n v="444"/>
    <s v="ORD00444"/>
    <s v="CUST00444"/>
    <x v="0"/>
    <n v="59"/>
    <x v="2"/>
    <s v="2024-06-18"/>
    <x v="8"/>
    <x v="2"/>
    <s v="App"/>
    <s v="Accessories"/>
    <s v="L"/>
    <n v="5"/>
    <s v="high"/>
    <n v="5320"/>
    <x v="4"/>
    <s v="Gujarat"/>
  </r>
  <r>
    <n v="445"/>
    <s v="ORD00445"/>
    <s v="CUST00445"/>
    <x v="1"/>
    <n v="51"/>
    <x v="2"/>
    <s v="2024-11-11"/>
    <x v="7"/>
    <x v="0"/>
    <s v="App"/>
    <s v="Clothing"/>
    <s v="S"/>
    <n v="5"/>
    <s v="high"/>
    <n v="14085"/>
    <x v="2"/>
    <s v="Delhi"/>
  </r>
  <r>
    <n v="446"/>
    <s v="ORD00446"/>
    <s v="CUST00446"/>
    <x v="0"/>
    <n v="26"/>
    <x v="1"/>
    <s v="2024-12-30"/>
    <x v="4"/>
    <x v="0"/>
    <s v="Online"/>
    <s v="Clothing"/>
    <s v="M"/>
    <n v="5"/>
    <s v="high"/>
    <n v="8635"/>
    <x v="4"/>
    <s v="Gujarat"/>
  </r>
  <r>
    <n v="447"/>
    <s v="ORD00447"/>
    <s v="CUST00447"/>
    <x v="0"/>
    <n v="34"/>
    <x v="1"/>
    <s v="2024-12-20"/>
    <x v="4"/>
    <x v="2"/>
    <s v="App"/>
    <s v="Shoes"/>
    <s v="S"/>
    <n v="3"/>
    <s v="high"/>
    <n v="4704"/>
    <x v="4"/>
    <s v="Gujarat"/>
  </r>
  <r>
    <n v="448"/>
    <s v="ORD00448"/>
    <s v="CUST00448"/>
    <x v="1"/>
    <n v="38"/>
    <x v="1"/>
    <s v="2024-10-25"/>
    <x v="5"/>
    <x v="1"/>
    <s v="Store"/>
    <s v="Clothing"/>
    <s v="S"/>
    <n v="4"/>
    <s v="high"/>
    <n v="6792"/>
    <x v="5"/>
    <s v="Karnataka"/>
  </r>
  <r>
    <n v="449"/>
    <s v="ORD00449"/>
    <s v="CUST00449"/>
    <x v="0"/>
    <n v="47"/>
    <x v="2"/>
    <s v="2024-04-08"/>
    <x v="0"/>
    <x v="2"/>
    <s v="Store"/>
    <s v="Accessories"/>
    <s v="XL"/>
    <n v="4"/>
    <s v="high"/>
    <n v="6308"/>
    <x v="4"/>
    <s v="Gujarat"/>
  </r>
  <r>
    <n v="450"/>
    <s v="ORD00450"/>
    <s v="CUST00450"/>
    <x v="0"/>
    <n v="56"/>
    <x v="2"/>
    <s v="2024-12-26"/>
    <x v="4"/>
    <x v="0"/>
    <s v="Online"/>
    <s v="Electronics"/>
    <s v="L"/>
    <n v="3"/>
    <s v="high"/>
    <n v="5352"/>
    <x v="3"/>
    <s v="Maharashtra"/>
  </r>
  <r>
    <n v="451"/>
    <s v="ORD00451"/>
    <s v="CUST00451"/>
    <x v="0"/>
    <n v="56"/>
    <x v="2"/>
    <s v="2024-08-26"/>
    <x v="2"/>
    <x v="2"/>
    <s v="Store"/>
    <s v="Electronics"/>
    <s v="XL"/>
    <n v="2"/>
    <s v="high"/>
    <n v="3486"/>
    <x v="4"/>
    <s v="Gujarat"/>
  </r>
  <r>
    <n v="452"/>
    <s v="ORD00452"/>
    <s v="CUST00452"/>
    <x v="1"/>
    <n v="51"/>
    <x v="2"/>
    <s v="2024-08-16"/>
    <x v="2"/>
    <x v="1"/>
    <s v="App"/>
    <s v="Clothing"/>
    <s v="M"/>
    <n v="2"/>
    <s v="high"/>
    <n v="3754"/>
    <x v="1"/>
    <s v="Maharashtra"/>
  </r>
  <r>
    <n v="453"/>
    <s v="ORD00453"/>
    <s v="CUST00453"/>
    <x v="1"/>
    <n v="22"/>
    <x v="0"/>
    <s v="2024-12-09"/>
    <x v="4"/>
    <x v="2"/>
    <s v="Online"/>
    <s v="Accessories"/>
    <s v="L"/>
    <n v="2"/>
    <s v="high"/>
    <n v="5944"/>
    <x v="4"/>
    <s v="Gujarat"/>
  </r>
  <r>
    <n v="454"/>
    <s v="ORD00454"/>
    <s v="CUST00454"/>
    <x v="1"/>
    <n v="48"/>
    <x v="2"/>
    <s v="2024-01-07"/>
    <x v="10"/>
    <x v="0"/>
    <s v="Online"/>
    <s v="Electronics"/>
    <s v="L"/>
    <n v="3"/>
    <s v="high"/>
    <n v="5196"/>
    <x v="2"/>
    <s v="Delhi"/>
  </r>
  <r>
    <n v="455"/>
    <s v="ORD00455"/>
    <s v="CUST00455"/>
    <x v="1"/>
    <n v="23"/>
    <x v="0"/>
    <s v="2024-02-14"/>
    <x v="1"/>
    <x v="2"/>
    <s v="Store"/>
    <s v="Shoes"/>
    <s v="L"/>
    <n v="4"/>
    <s v="high"/>
    <n v="11988"/>
    <x v="1"/>
    <s v="Maharashtra"/>
  </r>
  <r>
    <n v="456"/>
    <s v="ORD00456"/>
    <s v="CUST00456"/>
    <x v="0"/>
    <n v="60"/>
    <x v="2"/>
    <s v="2024-06-17"/>
    <x v="8"/>
    <x v="2"/>
    <s v="Online"/>
    <s v="Clothing"/>
    <s v="L"/>
    <n v="4"/>
    <s v="low"/>
    <n v="2084"/>
    <x v="4"/>
    <s v="Gujarat"/>
  </r>
  <r>
    <n v="457"/>
    <s v="ORD00457"/>
    <s v="CUST00457"/>
    <x v="0"/>
    <n v="27"/>
    <x v="1"/>
    <s v="2024-11-24"/>
    <x v="7"/>
    <x v="0"/>
    <s v="App"/>
    <s v="Clothing"/>
    <s v="M"/>
    <n v="4"/>
    <s v="high"/>
    <n v="9320"/>
    <x v="6"/>
    <s v="Tamil Nadu"/>
  </r>
  <r>
    <n v="458"/>
    <s v="ORD00458"/>
    <s v="CUST00458"/>
    <x v="1"/>
    <n v="26"/>
    <x v="1"/>
    <s v="2024-09-22"/>
    <x v="3"/>
    <x v="2"/>
    <s v="Online"/>
    <s v="Electronics"/>
    <s v="XL"/>
    <n v="4"/>
    <s v="high"/>
    <n v="7532"/>
    <x v="4"/>
    <s v="Gujarat"/>
  </r>
  <r>
    <n v="459"/>
    <s v="ORD00459"/>
    <s v="CUST00459"/>
    <x v="1"/>
    <n v="21"/>
    <x v="0"/>
    <s v="2024-08-14"/>
    <x v="2"/>
    <x v="1"/>
    <s v="Store"/>
    <s v="Accessories"/>
    <s v="L"/>
    <n v="5"/>
    <s v="high"/>
    <n v="6215"/>
    <x v="1"/>
    <s v="Maharashtra"/>
  </r>
  <r>
    <n v="460"/>
    <s v="ORD00460"/>
    <s v="CUST00460"/>
    <x v="1"/>
    <n v="48"/>
    <x v="2"/>
    <s v="2024-09-05"/>
    <x v="3"/>
    <x v="1"/>
    <s v="App"/>
    <s v="Clothing"/>
    <s v="S"/>
    <n v="2"/>
    <s v="high"/>
    <n v="5162"/>
    <x v="5"/>
    <s v="Karnataka"/>
  </r>
  <r>
    <n v="461"/>
    <s v="ORD00461"/>
    <s v="CUST00461"/>
    <x v="1"/>
    <n v="30"/>
    <x v="1"/>
    <s v="2024-03-30"/>
    <x v="11"/>
    <x v="0"/>
    <s v="Store"/>
    <s v="Accessories"/>
    <s v="L"/>
    <n v="3"/>
    <s v="high"/>
    <n v="7524"/>
    <x v="5"/>
    <s v="Karnataka"/>
  </r>
  <r>
    <n v="462"/>
    <s v="ORD00462"/>
    <s v="CUST00462"/>
    <x v="1"/>
    <n v="42"/>
    <x v="1"/>
    <s v="2024-11-10"/>
    <x v="7"/>
    <x v="1"/>
    <s v="Online"/>
    <s v="Electronics"/>
    <s v="S"/>
    <n v="4"/>
    <s v="low"/>
    <n v="2288"/>
    <x v="3"/>
    <s v="Maharashtra"/>
  </r>
  <r>
    <n v="463"/>
    <s v="ORD00463"/>
    <s v="CUST00463"/>
    <x v="1"/>
    <n v="45"/>
    <x v="1"/>
    <s v="2024-08-15"/>
    <x v="2"/>
    <x v="0"/>
    <s v="Online"/>
    <s v="Electronics"/>
    <s v="S"/>
    <n v="1"/>
    <s v="low"/>
    <n v="1822"/>
    <x v="5"/>
    <s v="Karnataka"/>
  </r>
  <r>
    <n v="464"/>
    <s v="ORD00464"/>
    <s v="CUST00464"/>
    <x v="1"/>
    <n v="60"/>
    <x v="2"/>
    <s v="2024-10-13"/>
    <x v="5"/>
    <x v="1"/>
    <s v="Online"/>
    <s v="Shoes"/>
    <s v="XL"/>
    <n v="4"/>
    <s v="high"/>
    <n v="6328"/>
    <x v="6"/>
    <s v="Tamil Nadu"/>
  </r>
  <r>
    <n v="465"/>
    <s v="ORD00465"/>
    <s v="CUST00465"/>
    <x v="0"/>
    <n v="40"/>
    <x v="1"/>
    <s v="2024-08-26"/>
    <x v="2"/>
    <x v="2"/>
    <s v="Online"/>
    <s v="Accessories"/>
    <s v="XL"/>
    <n v="4"/>
    <s v="high"/>
    <n v="10764"/>
    <x v="6"/>
    <s v="Tamil Nadu"/>
  </r>
  <r>
    <n v="466"/>
    <s v="ORD00466"/>
    <s v="CUST00466"/>
    <x v="0"/>
    <n v="23"/>
    <x v="0"/>
    <s v="2024-05-27"/>
    <x v="9"/>
    <x v="2"/>
    <s v="Store"/>
    <s v="Electronics"/>
    <s v="S"/>
    <n v="1"/>
    <s v="low"/>
    <n v="2220"/>
    <x v="6"/>
    <s v="Tamil Nadu"/>
  </r>
  <r>
    <n v="467"/>
    <s v="ORD00467"/>
    <s v="CUST00467"/>
    <x v="0"/>
    <n v="22"/>
    <x v="0"/>
    <s v="2024-08-23"/>
    <x v="2"/>
    <x v="2"/>
    <s v="Store"/>
    <s v="Electronics"/>
    <s v="M"/>
    <n v="1"/>
    <s v="low"/>
    <n v="634"/>
    <x v="5"/>
    <s v="Karnataka"/>
  </r>
  <r>
    <n v="468"/>
    <s v="ORD00468"/>
    <s v="CUST00468"/>
    <x v="0"/>
    <n v="23"/>
    <x v="0"/>
    <s v="2024-02-09"/>
    <x v="1"/>
    <x v="2"/>
    <s v="Store"/>
    <s v="Shoes"/>
    <s v="S"/>
    <n v="2"/>
    <s v="high"/>
    <n v="4462"/>
    <x v="7"/>
    <s v="Telangana"/>
  </r>
  <r>
    <n v="469"/>
    <s v="ORD00469"/>
    <s v="CUST00469"/>
    <x v="0"/>
    <n v="24"/>
    <x v="0"/>
    <s v="2024-08-04"/>
    <x v="2"/>
    <x v="0"/>
    <s v="Store"/>
    <s v="Clothing"/>
    <s v="S"/>
    <n v="1"/>
    <s v="low"/>
    <n v="2124"/>
    <x v="4"/>
    <s v="Gujarat"/>
  </r>
  <r>
    <n v="470"/>
    <s v="ORD00470"/>
    <s v="CUST00470"/>
    <x v="1"/>
    <n v="50"/>
    <x v="2"/>
    <s v="2024-04-19"/>
    <x v="0"/>
    <x v="0"/>
    <s v="App"/>
    <s v="Shoes"/>
    <s v="XL"/>
    <n v="4"/>
    <s v="high"/>
    <n v="9308"/>
    <x v="6"/>
    <s v="Tamil Nadu"/>
  </r>
  <r>
    <n v="471"/>
    <s v="ORD00471"/>
    <s v="CUST00471"/>
    <x v="1"/>
    <n v="26"/>
    <x v="1"/>
    <s v="2024-11-09"/>
    <x v="7"/>
    <x v="1"/>
    <s v="App"/>
    <s v="Shoes"/>
    <s v="XL"/>
    <n v="4"/>
    <s v="high"/>
    <n v="11344"/>
    <x v="6"/>
    <s v="Tamil Nadu"/>
  </r>
  <r>
    <n v="472"/>
    <s v="ORD00472"/>
    <s v="CUST00472"/>
    <x v="1"/>
    <n v="47"/>
    <x v="2"/>
    <s v="2024-09-17"/>
    <x v="3"/>
    <x v="1"/>
    <s v="Online"/>
    <s v="Shoes"/>
    <s v="L"/>
    <n v="5"/>
    <s v="high"/>
    <n v="10270"/>
    <x v="4"/>
    <s v="Gujarat"/>
  </r>
  <r>
    <n v="473"/>
    <s v="ORD00473"/>
    <s v="CUST00473"/>
    <x v="0"/>
    <n v="28"/>
    <x v="1"/>
    <s v="2024-02-28"/>
    <x v="1"/>
    <x v="2"/>
    <s v="App"/>
    <s v="Accessories"/>
    <s v="S"/>
    <n v="4"/>
    <s v="high"/>
    <n v="10844"/>
    <x v="5"/>
    <s v="Karnataka"/>
  </r>
  <r>
    <n v="474"/>
    <s v="ORD00474"/>
    <s v="CUST00474"/>
    <x v="0"/>
    <n v="41"/>
    <x v="1"/>
    <s v="2024-04-11"/>
    <x v="0"/>
    <x v="2"/>
    <s v="Online"/>
    <s v="Clothing"/>
    <s v="S"/>
    <n v="5"/>
    <s v="high"/>
    <n v="13515"/>
    <x v="7"/>
    <s v="Telangana"/>
  </r>
  <r>
    <n v="475"/>
    <s v="ORD00475"/>
    <s v="CUST00475"/>
    <x v="1"/>
    <n v="55"/>
    <x v="2"/>
    <s v="2024-02-01"/>
    <x v="1"/>
    <x v="0"/>
    <s v="Online"/>
    <s v="Shoes"/>
    <s v="XL"/>
    <n v="4"/>
    <s v="high"/>
    <n v="11896"/>
    <x v="2"/>
    <s v="Delhi"/>
  </r>
  <r>
    <n v="476"/>
    <s v="ORD00476"/>
    <s v="CUST00476"/>
    <x v="1"/>
    <n v="31"/>
    <x v="1"/>
    <s v="2024-11-12"/>
    <x v="7"/>
    <x v="0"/>
    <s v="App"/>
    <s v="Electronics"/>
    <s v="L"/>
    <n v="4"/>
    <s v="high"/>
    <n v="3352"/>
    <x v="0"/>
    <s v="Maharashtra"/>
  </r>
  <r>
    <n v="477"/>
    <s v="ORD00477"/>
    <s v="CUST00477"/>
    <x v="1"/>
    <n v="46"/>
    <x v="2"/>
    <s v="2024-06-24"/>
    <x v="8"/>
    <x v="1"/>
    <s v="Online"/>
    <s v="Accessories"/>
    <s v="S"/>
    <n v="3"/>
    <s v="high"/>
    <n v="6987"/>
    <x v="7"/>
    <s v="Telangana"/>
  </r>
  <r>
    <n v="478"/>
    <s v="ORD00478"/>
    <s v="CUST00478"/>
    <x v="0"/>
    <n v="31"/>
    <x v="1"/>
    <s v="2024-04-06"/>
    <x v="0"/>
    <x v="1"/>
    <s v="Store"/>
    <s v="Clothing"/>
    <s v="L"/>
    <n v="1"/>
    <s v="low"/>
    <n v="877"/>
    <x v="4"/>
    <s v="Gujarat"/>
  </r>
  <r>
    <n v="479"/>
    <s v="ORD00479"/>
    <s v="CUST00479"/>
    <x v="0"/>
    <n v="18"/>
    <x v="0"/>
    <s v="2024-06-24"/>
    <x v="8"/>
    <x v="0"/>
    <s v="Online"/>
    <s v="Clothing"/>
    <s v="XL"/>
    <n v="4"/>
    <s v="high"/>
    <n v="10288"/>
    <x v="3"/>
    <s v="Maharashtra"/>
  </r>
  <r>
    <n v="480"/>
    <s v="ORD00480"/>
    <s v="CUST00480"/>
    <x v="0"/>
    <n v="41"/>
    <x v="1"/>
    <s v="2024-07-24"/>
    <x v="6"/>
    <x v="2"/>
    <s v="App"/>
    <s v="Shoes"/>
    <s v="L"/>
    <n v="4"/>
    <s v="high"/>
    <n v="6276"/>
    <x v="5"/>
    <s v="Karnataka"/>
  </r>
  <r>
    <n v="481"/>
    <s v="ORD00481"/>
    <s v="CUST00481"/>
    <x v="1"/>
    <n v="48"/>
    <x v="2"/>
    <s v="2024-11-07"/>
    <x v="7"/>
    <x v="1"/>
    <s v="App"/>
    <s v="Accessories"/>
    <s v="M"/>
    <n v="3"/>
    <s v="low"/>
    <n v="2568"/>
    <x v="2"/>
    <s v="Delhi"/>
  </r>
  <r>
    <n v="482"/>
    <s v="ORD00482"/>
    <s v="CUST00482"/>
    <x v="1"/>
    <n v="46"/>
    <x v="2"/>
    <s v="2024-07-28"/>
    <x v="6"/>
    <x v="1"/>
    <s v="Store"/>
    <s v="Electronics"/>
    <s v="M"/>
    <n v="3"/>
    <s v="high"/>
    <n v="4602"/>
    <x v="4"/>
    <s v="Gujarat"/>
  </r>
  <r>
    <n v="483"/>
    <s v="ORD00483"/>
    <s v="CUST00483"/>
    <x v="1"/>
    <n v="50"/>
    <x v="2"/>
    <s v="2024-11-13"/>
    <x v="7"/>
    <x v="1"/>
    <s v="Online"/>
    <s v="Shoes"/>
    <s v="L"/>
    <n v="5"/>
    <s v="high"/>
    <n v="9455"/>
    <x v="1"/>
    <s v="Maharashtra"/>
  </r>
  <r>
    <n v="484"/>
    <s v="ORD00484"/>
    <s v="CUST00484"/>
    <x v="0"/>
    <n v="37"/>
    <x v="1"/>
    <s v="2024-03-07"/>
    <x v="11"/>
    <x v="2"/>
    <s v="App"/>
    <s v="Shoes"/>
    <s v="S"/>
    <n v="4"/>
    <s v="high"/>
    <n v="6452"/>
    <x v="5"/>
    <s v="Karnataka"/>
  </r>
  <r>
    <n v="485"/>
    <s v="ORD00485"/>
    <s v="CUST00485"/>
    <x v="0"/>
    <n v="41"/>
    <x v="1"/>
    <s v="2024-05-13"/>
    <x v="9"/>
    <x v="2"/>
    <s v="App"/>
    <s v="Shoes"/>
    <s v="M"/>
    <n v="2"/>
    <s v="low"/>
    <n v="1150"/>
    <x v="1"/>
    <s v="Maharashtra"/>
  </r>
  <r>
    <n v="486"/>
    <s v="ORD00486"/>
    <s v="CUST00486"/>
    <x v="0"/>
    <n v="18"/>
    <x v="0"/>
    <s v="2024-09-09"/>
    <x v="3"/>
    <x v="2"/>
    <s v="Online"/>
    <s v="Accessories"/>
    <s v="M"/>
    <n v="2"/>
    <s v="low"/>
    <n v="1092"/>
    <x v="2"/>
    <s v="Delhi"/>
  </r>
  <r>
    <n v="487"/>
    <s v="ORD00487"/>
    <s v="CUST00487"/>
    <x v="0"/>
    <n v="38"/>
    <x v="1"/>
    <s v="2024-09-11"/>
    <x v="3"/>
    <x v="0"/>
    <s v="Online"/>
    <s v="Accessories"/>
    <s v="S"/>
    <n v="4"/>
    <s v="low"/>
    <n v="2240"/>
    <x v="5"/>
    <s v="Karnataka"/>
  </r>
  <r>
    <n v="488"/>
    <s v="ORD00488"/>
    <s v="CUST00488"/>
    <x v="0"/>
    <n v="31"/>
    <x v="1"/>
    <s v="2024-07-17"/>
    <x v="6"/>
    <x v="1"/>
    <s v="Online"/>
    <s v="Shoes"/>
    <s v="M"/>
    <n v="5"/>
    <s v="high"/>
    <n v="9490"/>
    <x v="7"/>
    <s v="Telangana"/>
  </r>
  <r>
    <n v="489"/>
    <s v="ORD00489"/>
    <s v="CUST00489"/>
    <x v="0"/>
    <n v="45"/>
    <x v="1"/>
    <s v="2024-10-25"/>
    <x v="5"/>
    <x v="1"/>
    <s v="Store"/>
    <s v="Clothing"/>
    <s v="L"/>
    <n v="2"/>
    <s v="low"/>
    <n v="2894"/>
    <x v="4"/>
    <s v="Gujarat"/>
  </r>
  <r>
    <n v="490"/>
    <s v="ORD00490"/>
    <s v="CUST00490"/>
    <x v="0"/>
    <n v="41"/>
    <x v="1"/>
    <s v="2024-09-15"/>
    <x v="3"/>
    <x v="1"/>
    <s v="App"/>
    <s v="Shoes"/>
    <s v="XL"/>
    <n v="2"/>
    <s v="high"/>
    <n v="3510"/>
    <x v="2"/>
    <s v="Delhi"/>
  </r>
  <r>
    <n v="491"/>
    <s v="ORD00491"/>
    <s v="CUST00491"/>
    <x v="1"/>
    <n v="40"/>
    <x v="1"/>
    <s v="2024-03-09"/>
    <x v="11"/>
    <x v="0"/>
    <s v="Store"/>
    <s v="Accessories"/>
    <s v="XL"/>
    <n v="2"/>
    <s v="high"/>
    <n v="4238"/>
    <x v="6"/>
    <s v="Tamil Nadu"/>
  </r>
  <r>
    <n v="492"/>
    <s v="ORD00492"/>
    <s v="CUST00492"/>
    <x v="0"/>
    <n v="20"/>
    <x v="0"/>
    <s v="2024-03-26"/>
    <x v="11"/>
    <x v="2"/>
    <s v="App"/>
    <s v="Shoes"/>
    <s v="L"/>
    <n v="3"/>
    <s v="high"/>
    <n v="6951"/>
    <x v="0"/>
    <s v="Maharashtra"/>
  </r>
  <r>
    <n v="493"/>
    <s v="ORD00493"/>
    <s v="CUST00493"/>
    <x v="1"/>
    <n v="37"/>
    <x v="1"/>
    <s v="2024-02-07"/>
    <x v="1"/>
    <x v="2"/>
    <s v="Online"/>
    <s v="Clothing"/>
    <s v="XL"/>
    <n v="4"/>
    <s v="low"/>
    <n v="2956"/>
    <x v="3"/>
    <s v="Maharashtra"/>
  </r>
  <r>
    <n v="494"/>
    <s v="ORD00494"/>
    <s v="CUST00494"/>
    <x v="0"/>
    <n v="22"/>
    <x v="0"/>
    <s v="2024-05-19"/>
    <x v="9"/>
    <x v="2"/>
    <s v="App"/>
    <s v="Accessories"/>
    <s v="M"/>
    <n v="5"/>
    <s v="high"/>
    <n v="11145"/>
    <x v="0"/>
    <s v="Maharashtra"/>
  </r>
  <r>
    <n v="495"/>
    <s v="ORD00495"/>
    <s v="CUST00495"/>
    <x v="1"/>
    <n v="30"/>
    <x v="1"/>
    <s v="2024-04-04"/>
    <x v="0"/>
    <x v="2"/>
    <s v="Store"/>
    <s v="Clothing"/>
    <s v="L"/>
    <n v="3"/>
    <s v="high"/>
    <n v="5046"/>
    <x v="7"/>
    <s v="Telangana"/>
  </r>
  <r>
    <n v="496"/>
    <s v="ORD00496"/>
    <s v="CUST00496"/>
    <x v="0"/>
    <n v="52"/>
    <x v="2"/>
    <s v="2024-10-07"/>
    <x v="5"/>
    <x v="1"/>
    <s v="App"/>
    <s v="Clothing"/>
    <s v="M"/>
    <n v="3"/>
    <s v="high"/>
    <n v="5481"/>
    <x v="0"/>
    <s v="Maharashtra"/>
  </r>
  <r>
    <n v="497"/>
    <s v="ORD00497"/>
    <s v="CUST00497"/>
    <x v="1"/>
    <n v="21"/>
    <x v="0"/>
    <s v="2024-02-21"/>
    <x v="1"/>
    <x v="1"/>
    <s v="App"/>
    <s v="Shoes"/>
    <s v="M"/>
    <n v="3"/>
    <s v="high"/>
    <n v="3108"/>
    <x v="0"/>
    <s v="Maharashtra"/>
  </r>
  <r>
    <n v="498"/>
    <s v="ORD00498"/>
    <s v="CUST00498"/>
    <x v="1"/>
    <n v="60"/>
    <x v="2"/>
    <s v="2024-05-09"/>
    <x v="9"/>
    <x v="0"/>
    <s v="Store"/>
    <s v="Clothing"/>
    <s v="L"/>
    <n v="2"/>
    <s v="low"/>
    <n v="2486"/>
    <x v="6"/>
    <s v="Tamil Nadu"/>
  </r>
  <r>
    <n v="499"/>
    <s v="ORD00499"/>
    <s v="CUST00499"/>
    <x v="1"/>
    <n v="50"/>
    <x v="2"/>
    <s v="2024-02-05"/>
    <x v="1"/>
    <x v="2"/>
    <s v="App"/>
    <s v="Electronics"/>
    <s v="XL"/>
    <n v="4"/>
    <s v="high"/>
    <n v="6532"/>
    <x v="2"/>
    <s v="Delhi"/>
  </r>
  <r>
    <n v="500"/>
    <s v="ORD00500"/>
    <s v="CUST00500"/>
    <x v="1"/>
    <n v="27"/>
    <x v="1"/>
    <s v="2024-03-08"/>
    <x v="11"/>
    <x v="2"/>
    <s v="Online"/>
    <s v="Shoes"/>
    <s v="XL"/>
    <n v="5"/>
    <s v="high"/>
    <n v="10095"/>
    <x v="0"/>
    <s v="Maharashtra"/>
  </r>
</pivotCacheRecords>
</file>

<file path=xl/pivotCache/pivotCacheRecords2.xml><?xml version="1.0" encoding="utf-8"?>
<pivotCacheRecords xmlns="http://schemas.openxmlformats.org/spreadsheetml/2006/main" xmlns:r="http://schemas.openxmlformats.org/officeDocument/2006/relationships" count="500">
  <r>
    <s v="ORD00001"/>
    <s v="CUST00001"/>
    <s v="female"/>
    <n v="18"/>
    <s v="teen"/>
    <s v="2024-04-11"/>
    <s v="Apr"/>
    <s v="Cancelled"/>
    <x v="0"/>
    <s v="Electronics"/>
    <s v="XL"/>
    <n v="3"/>
    <s v="low"/>
    <n v="1938"/>
    <x v="0"/>
    <s v="Maharashtra"/>
  </r>
  <r>
    <s v="ORD00002"/>
    <s v="CUST00002"/>
    <s v="male"/>
    <n v="35"/>
    <s v="adult"/>
    <s v="2024-04-05"/>
    <s v="Apr"/>
    <s v="Returned"/>
    <x v="0"/>
    <s v="Electronics"/>
    <s v="XL"/>
    <n v="3"/>
    <s v="high"/>
    <n v="5121"/>
    <x v="1"/>
    <s v="Maharashtra"/>
  </r>
  <r>
    <s v="ORD00003"/>
    <s v="CUST00003"/>
    <s v="female"/>
    <n v="30"/>
    <s v="adult"/>
    <s v="2024-02-22"/>
    <s v="Feb"/>
    <s v="Delivered"/>
    <x v="0"/>
    <s v="Electronics"/>
    <s v="S"/>
    <n v="5"/>
    <s v="high"/>
    <n v="12020"/>
    <x v="2"/>
    <s v="Delhi"/>
  </r>
  <r>
    <s v="ORD00004"/>
    <s v="CUST00004"/>
    <s v="male"/>
    <n v="42"/>
    <s v="adult"/>
    <s v="2024-02-27"/>
    <s v="Feb"/>
    <s v="Delivered"/>
    <x v="1"/>
    <s v="Clothing"/>
    <s v="M"/>
    <n v="2"/>
    <s v="low"/>
    <n v="1788"/>
    <x v="3"/>
    <s v="Maharashtra"/>
  </r>
  <r>
    <s v="ORD00005"/>
    <s v="CUST00005"/>
    <s v="female"/>
    <n v="45"/>
    <s v="adult"/>
    <s v="2024-04-20"/>
    <s v="Apr"/>
    <s v="Delivered"/>
    <x v="1"/>
    <s v="Electronics"/>
    <s v="M"/>
    <n v="2"/>
    <s v="high"/>
    <n v="5182"/>
    <x v="4"/>
    <s v="Gujarat"/>
  </r>
  <r>
    <s v="ORD00006"/>
    <s v="CUST00006"/>
    <s v="female"/>
    <n v="59"/>
    <s v="senior"/>
    <s v="2024-04-06"/>
    <s v="Apr"/>
    <s v="Cancelled"/>
    <x v="1"/>
    <s v="Shoes"/>
    <s v="S"/>
    <n v="4"/>
    <s v="high"/>
    <n v="11336"/>
    <x v="1"/>
    <s v="Maharashtra"/>
  </r>
  <r>
    <s v="ORD00007"/>
    <s v="CUST00007"/>
    <s v="female"/>
    <n v="58"/>
    <s v="senior"/>
    <s v="2024-04-23"/>
    <s v="Apr"/>
    <s v="Cancelled"/>
    <x v="0"/>
    <s v="Electronics"/>
    <s v="M"/>
    <n v="3"/>
    <s v="low"/>
    <n v="2838"/>
    <x v="1"/>
    <s v="Maharashtra"/>
  </r>
  <r>
    <s v="ORD00008"/>
    <s v="CUST00008"/>
    <s v="female"/>
    <n v="53"/>
    <s v="senior"/>
    <s v="2024-08-25"/>
    <s v="Aug"/>
    <s v="Delivered"/>
    <x v="2"/>
    <s v="Clothing"/>
    <s v="M"/>
    <n v="4"/>
    <s v="high"/>
    <n v="8940"/>
    <x v="5"/>
    <s v="Karnataka"/>
  </r>
  <r>
    <s v="ORD00009"/>
    <s v="CUST00009"/>
    <s v="female"/>
    <n v="35"/>
    <s v="adult"/>
    <s v="2024-02-24"/>
    <s v="Feb"/>
    <s v="Cancelled"/>
    <x v="1"/>
    <s v="Accessories"/>
    <s v="S"/>
    <n v="4"/>
    <s v="high"/>
    <n v="11640"/>
    <x v="5"/>
    <s v="Karnataka"/>
  </r>
  <r>
    <s v="ORD00010"/>
    <s v="CUST00010"/>
    <s v="female"/>
    <n v="49"/>
    <s v="senior"/>
    <s v="2024-09-04"/>
    <s v="Sep"/>
    <s v="Returned"/>
    <x v="2"/>
    <s v="Accessories"/>
    <s v="L"/>
    <n v="1"/>
    <s v="low"/>
    <n v="2185"/>
    <x v="4"/>
    <s v="Gujarat"/>
  </r>
  <r>
    <s v="ORD00011"/>
    <s v="CUST00011"/>
    <s v="male"/>
    <n v="53"/>
    <s v="senior"/>
    <s v="2024-12-29"/>
    <s v="Dec"/>
    <s v="Returned"/>
    <x v="2"/>
    <s v="Clothing"/>
    <s v="XL"/>
    <n v="2"/>
    <s v="low"/>
    <n v="1818"/>
    <x v="1"/>
    <s v="Maharashtra"/>
  </r>
  <r>
    <s v="ORD00012"/>
    <s v="CUST00012"/>
    <s v="male"/>
    <n v="25"/>
    <s v="adult"/>
    <s v="2024-08-14"/>
    <s v="Aug"/>
    <s v="Cancelled"/>
    <x v="1"/>
    <s v="Clothing"/>
    <s v="L"/>
    <n v="4"/>
    <s v="high"/>
    <n v="8404"/>
    <x v="4"/>
    <s v="Gujarat"/>
  </r>
  <r>
    <s v="ORD00013"/>
    <s v="CUST00013"/>
    <s v="female"/>
    <n v="21"/>
    <s v="teen"/>
    <s v="2024-10-05"/>
    <s v="Oct"/>
    <s v="Delivered"/>
    <x v="0"/>
    <s v="Accessories"/>
    <s v="L"/>
    <n v="4"/>
    <s v="high"/>
    <n v="10992"/>
    <x v="5"/>
    <s v="Karnataka"/>
  </r>
  <r>
    <s v="ORD00014"/>
    <s v="CUST00014"/>
    <s v="female"/>
    <n v="34"/>
    <s v="adult"/>
    <s v="2024-08-18"/>
    <s v="Aug"/>
    <s v="Delivered"/>
    <x v="0"/>
    <s v="Electronics"/>
    <s v="L"/>
    <n v="3"/>
    <s v="low"/>
    <n v="2301"/>
    <x v="6"/>
    <s v="Tamil Nadu"/>
  </r>
  <r>
    <s v="ORD00015"/>
    <s v="CUST00015"/>
    <s v="female"/>
    <n v="48"/>
    <s v="senior"/>
    <s v="2024-07-10"/>
    <s v="Jul"/>
    <s v="Cancelled"/>
    <x v="0"/>
    <s v="Clothing"/>
    <s v="S"/>
    <n v="4"/>
    <s v="high"/>
    <n v="11800"/>
    <x v="2"/>
    <s v="Delhi"/>
  </r>
  <r>
    <s v="ORD00016"/>
    <s v="CUST00016"/>
    <s v="female"/>
    <n v="36"/>
    <s v="adult"/>
    <s v="2024-07-14"/>
    <s v="Jul"/>
    <s v="Cancelled"/>
    <x v="2"/>
    <s v="Shoes"/>
    <s v="L"/>
    <n v="5"/>
    <s v="high"/>
    <n v="8620"/>
    <x v="3"/>
    <s v="Maharashtra"/>
  </r>
  <r>
    <s v="ORD00017"/>
    <s v="CUST00017"/>
    <s v="male"/>
    <n v="24"/>
    <s v="teen"/>
    <s v="2024-11-24"/>
    <s v="Nov"/>
    <s v="Delivered"/>
    <x v="1"/>
    <s v="Electronics"/>
    <s v="S"/>
    <n v="5"/>
    <s v="high"/>
    <n v="9190"/>
    <x v="5"/>
    <s v="Karnataka"/>
  </r>
  <r>
    <s v="ORD00018"/>
    <s v="CUST00018"/>
    <s v="male"/>
    <n v="36"/>
    <s v="adult"/>
    <s v="2024-12-02"/>
    <s v="Dec"/>
    <s v="Delivered"/>
    <x v="1"/>
    <s v="Shoes"/>
    <s v="S"/>
    <n v="5"/>
    <s v="high"/>
    <n v="13040"/>
    <x v="6"/>
    <s v="Tamil Nadu"/>
  </r>
  <r>
    <s v="ORD00019"/>
    <s v="CUST00019"/>
    <s v="male"/>
    <n v="56"/>
    <s v="senior"/>
    <s v="2024-09-18"/>
    <s v="Sep"/>
    <s v="Cancelled"/>
    <x v="2"/>
    <s v="Clothing"/>
    <s v="XL"/>
    <n v="5"/>
    <s v="high"/>
    <n v="5830"/>
    <x v="2"/>
    <s v="Delhi"/>
  </r>
  <r>
    <s v="ORD00020"/>
    <s v="CUST00020"/>
    <s v="male"/>
    <n v="25"/>
    <s v="adult"/>
    <s v="2024-07-22"/>
    <s v="Jul"/>
    <s v="Delivered"/>
    <x v="1"/>
    <s v="Electronics"/>
    <s v="S"/>
    <n v="1"/>
    <s v="low"/>
    <n v="937"/>
    <x v="7"/>
    <s v="Telangana"/>
  </r>
  <r>
    <s v="ORD00021"/>
    <s v="CUST00021"/>
    <s v="male"/>
    <n v="28"/>
    <s v="adult"/>
    <s v="2024-10-07"/>
    <s v="Oct"/>
    <s v="Returned"/>
    <x v="0"/>
    <s v="Accessories"/>
    <s v="L"/>
    <n v="5"/>
    <s v="high"/>
    <n v="13675"/>
    <x v="1"/>
    <s v="Maharashtra"/>
  </r>
  <r>
    <s v="ORD00022"/>
    <s v="CUST00022"/>
    <s v="female"/>
    <n v="58"/>
    <s v="senior"/>
    <s v="2024-09-07"/>
    <s v="Sep"/>
    <s v="Returned"/>
    <x v="2"/>
    <s v="Accessories"/>
    <s v="L"/>
    <n v="1"/>
    <s v="low"/>
    <n v="1798"/>
    <x v="6"/>
    <s v="Tamil Nadu"/>
  </r>
  <r>
    <s v="ORD00023"/>
    <s v="CUST00023"/>
    <s v="female"/>
    <n v="23"/>
    <s v="teen"/>
    <s v="2024-11-22"/>
    <s v="Nov"/>
    <s v="Delivered"/>
    <x v="2"/>
    <s v="Electronics"/>
    <s v="XL"/>
    <n v="4"/>
    <s v="high"/>
    <n v="9960"/>
    <x v="1"/>
    <s v="Maharashtra"/>
  </r>
  <r>
    <s v="ORD00024"/>
    <s v="CUST00024"/>
    <s v="male"/>
    <n v="28"/>
    <s v="adult"/>
    <s v="2024-07-08"/>
    <s v="Jul"/>
    <s v="Returned"/>
    <x v="0"/>
    <s v="Electronics"/>
    <s v="S"/>
    <n v="2"/>
    <s v="high"/>
    <n v="3396"/>
    <x v="2"/>
    <s v="Delhi"/>
  </r>
  <r>
    <s v="ORD00025"/>
    <s v="CUST00025"/>
    <s v="female"/>
    <n v="41"/>
    <s v="adult"/>
    <s v="2024-09-04"/>
    <s v="Sep"/>
    <s v="Returned"/>
    <x v="0"/>
    <s v="Accessories"/>
    <s v="S"/>
    <n v="2"/>
    <s v="low"/>
    <n v="1652"/>
    <x v="5"/>
    <s v="Karnataka"/>
  </r>
  <r>
    <s v="ORD00026"/>
    <s v="CUST00026"/>
    <s v="male"/>
    <n v="27"/>
    <s v="adult"/>
    <s v="2024-09-21"/>
    <s v="Sep"/>
    <s v="Cancelled"/>
    <x v="2"/>
    <s v="Clothing"/>
    <s v="S"/>
    <n v="2"/>
    <s v="low"/>
    <n v="1864"/>
    <x v="5"/>
    <s v="Karnataka"/>
  </r>
  <r>
    <s v="ORD00027"/>
    <s v="CUST00027"/>
    <s v="female"/>
    <n v="45"/>
    <s v="adult"/>
    <s v="2024-06-07"/>
    <s v="Jun"/>
    <s v="Cancelled"/>
    <x v="1"/>
    <s v="Accessories"/>
    <s v="S"/>
    <n v="5"/>
    <s v="high"/>
    <n v="5190"/>
    <x v="2"/>
    <s v="Delhi"/>
  </r>
  <r>
    <s v="ORD00028"/>
    <s v="CUST00028"/>
    <s v="male"/>
    <n v="31"/>
    <s v="adult"/>
    <s v="2024-05-12"/>
    <s v="May"/>
    <s v="Delivered"/>
    <x v="2"/>
    <s v="Clothing"/>
    <s v="XL"/>
    <n v="4"/>
    <s v="high"/>
    <n v="8708"/>
    <x v="5"/>
    <s v="Karnataka"/>
  </r>
  <r>
    <s v="ORD00029"/>
    <s v="CUST00029"/>
    <s v="female"/>
    <n v="35"/>
    <s v="adult"/>
    <s v="2024-05-19"/>
    <s v="May"/>
    <s v="Returned"/>
    <x v="1"/>
    <s v="Clothing"/>
    <s v="M"/>
    <n v="3"/>
    <s v="high"/>
    <n v="3105"/>
    <x v="3"/>
    <s v="Maharashtra"/>
  </r>
  <r>
    <s v="ORD00030"/>
    <s v="CUST00030"/>
    <s v="female"/>
    <n v="52"/>
    <s v="senior"/>
    <s v="2024-06-22"/>
    <s v="Jun"/>
    <s v="Cancelled"/>
    <x v="1"/>
    <s v="Clothing"/>
    <s v="XL"/>
    <n v="1"/>
    <s v="low"/>
    <n v="614"/>
    <x v="3"/>
    <s v="Maharashtra"/>
  </r>
  <r>
    <s v="ORD00031"/>
    <s v="CUST00031"/>
    <s v="male"/>
    <n v="46"/>
    <s v="senior"/>
    <s v="2024-02-19"/>
    <s v="Feb"/>
    <s v="Returned"/>
    <x v="2"/>
    <s v="Shoes"/>
    <s v="M"/>
    <n v="2"/>
    <s v="high"/>
    <n v="4548"/>
    <x v="5"/>
    <s v="Karnataka"/>
  </r>
  <r>
    <s v="ORD00032"/>
    <s v="CUST00032"/>
    <s v="female"/>
    <n v="28"/>
    <s v="adult"/>
    <s v="2024-11-21"/>
    <s v="Nov"/>
    <s v="Returned"/>
    <x v="2"/>
    <s v="Electronics"/>
    <s v="L"/>
    <n v="1"/>
    <s v="low"/>
    <n v="681"/>
    <x v="1"/>
    <s v="Maharashtra"/>
  </r>
  <r>
    <s v="ORD00033"/>
    <s v="CUST00033"/>
    <s v="female"/>
    <n v="51"/>
    <s v="senior"/>
    <s v="2024-12-29"/>
    <s v="Dec"/>
    <s v="Cancelled"/>
    <x v="1"/>
    <s v="Shoes"/>
    <s v="XL"/>
    <n v="4"/>
    <s v="high"/>
    <n v="11636"/>
    <x v="7"/>
    <s v="Telangana"/>
  </r>
  <r>
    <s v="ORD00034"/>
    <s v="CUST00034"/>
    <s v="female"/>
    <n v="55"/>
    <s v="senior"/>
    <s v="2024-08-31"/>
    <s v="Aug"/>
    <s v="Returned"/>
    <x v="1"/>
    <s v="Accessories"/>
    <s v="S"/>
    <n v="4"/>
    <s v="high"/>
    <n v="9624"/>
    <x v="7"/>
    <s v="Telangana"/>
  </r>
  <r>
    <s v="ORD00035"/>
    <s v="CUST00035"/>
    <s v="female"/>
    <n v="22"/>
    <s v="teen"/>
    <s v="2024-09-21"/>
    <s v="Sep"/>
    <s v="Delivered"/>
    <x v="0"/>
    <s v="Clothing"/>
    <s v="XL"/>
    <n v="2"/>
    <s v="high"/>
    <n v="3558"/>
    <x v="5"/>
    <s v="Karnataka"/>
  </r>
  <r>
    <s v="ORD00036"/>
    <s v="CUST00036"/>
    <s v="female"/>
    <n v="28"/>
    <s v="adult"/>
    <s v="2024-07-21"/>
    <s v="Jul"/>
    <s v="Delivered"/>
    <x v="0"/>
    <s v="Shoes"/>
    <s v="M"/>
    <n v="4"/>
    <s v="high"/>
    <n v="10440"/>
    <x v="3"/>
    <s v="Maharashtra"/>
  </r>
  <r>
    <s v="ORD00037"/>
    <s v="CUST00037"/>
    <s v="female"/>
    <n v="41"/>
    <s v="adult"/>
    <s v="2024-07-06"/>
    <s v="Jul"/>
    <s v="Returned"/>
    <x v="0"/>
    <s v="Electronics"/>
    <s v="XL"/>
    <n v="3"/>
    <s v="high"/>
    <n v="4179"/>
    <x v="0"/>
    <s v="Maharashtra"/>
  </r>
  <r>
    <s v="ORD00038"/>
    <s v="CUST00038"/>
    <s v="male"/>
    <n v="46"/>
    <s v="senior"/>
    <s v="2024-04-07"/>
    <s v="Apr"/>
    <s v="Delivered"/>
    <x v="1"/>
    <s v="Electronics"/>
    <s v="L"/>
    <n v="4"/>
    <s v="low"/>
    <n v="2332"/>
    <x v="6"/>
    <s v="Tamil Nadu"/>
  </r>
  <r>
    <s v="ORD00039"/>
    <s v="CUST00039"/>
    <s v="female"/>
    <n v="26"/>
    <s v="adult"/>
    <s v="2024-06-07"/>
    <s v="Jun"/>
    <s v="Delivered"/>
    <x v="1"/>
    <s v="Electronics"/>
    <s v="S"/>
    <n v="4"/>
    <s v="high"/>
    <n v="3304"/>
    <x v="1"/>
    <s v="Maharashtra"/>
  </r>
  <r>
    <s v="ORD00040"/>
    <s v="CUST00040"/>
    <s v="female"/>
    <n v="54"/>
    <s v="senior"/>
    <s v="2024-01-05"/>
    <s v="Jan"/>
    <s v="Cancelled"/>
    <x v="2"/>
    <s v="Clothing"/>
    <s v="XL"/>
    <n v="1"/>
    <s v="low"/>
    <n v="1185"/>
    <x v="1"/>
    <s v="Maharashtra"/>
  </r>
  <r>
    <s v="ORD00041"/>
    <s v="CUST00041"/>
    <s v="male"/>
    <n v="40"/>
    <s v="adult"/>
    <s v="2024-04-13"/>
    <s v="Apr"/>
    <s v="Cancelled"/>
    <x v="2"/>
    <s v="Electronics"/>
    <s v="XL"/>
    <n v="5"/>
    <s v="high"/>
    <n v="11215"/>
    <x v="3"/>
    <s v="Maharashtra"/>
  </r>
  <r>
    <s v="ORD00042"/>
    <s v="CUST00042"/>
    <s v="female"/>
    <n v="40"/>
    <s v="adult"/>
    <s v="2024-04-11"/>
    <s v="Apr"/>
    <s v="Cancelled"/>
    <x v="0"/>
    <s v="Shoes"/>
    <s v="M"/>
    <n v="2"/>
    <s v="high"/>
    <n v="3498"/>
    <x v="0"/>
    <s v="Maharashtra"/>
  </r>
  <r>
    <s v="ORD00043"/>
    <s v="CUST00043"/>
    <s v="female"/>
    <n v="40"/>
    <s v="adult"/>
    <s v="2024-06-29"/>
    <s v="Jun"/>
    <s v="Cancelled"/>
    <x v="0"/>
    <s v="Clothing"/>
    <s v="S"/>
    <n v="3"/>
    <s v="high"/>
    <n v="5631"/>
    <x v="5"/>
    <s v="Karnataka"/>
  </r>
  <r>
    <s v="ORD00044"/>
    <s v="CUST00044"/>
    <s v="male"/>
    <n v="25"/>
    <s v="adult"/>
    <s v="2024-02-11"/>
    <s v="Feb"/>
    <s v="Returned"/>
    <x v="2"/>
    <s v="Electronics"/>
    <s v="S"/>
    <n v="3"/>
    <s v="high"/>
    <n v="8745"/>
    <x v="4"/>
    <s v="Gujarat"/>
  </r>
  <r>
    <s v="ORD00045"/>
    <s v="CUST00045"/>
    <s v="male"/>
    <n v="49"/>
    <s v="senior"/>
    <s v="2024-03-20"/>
    <s v="Mar"/>
    <s v="Returned"/>
    <x v="2"/>
    <s v="Shoes"/>
    <s v="S"/>
    <n v="5"/>
    <s v="high"/>
    <n v="13005"/>
    <x v="3"/>
    <s v="Maharashtra"/>
  </r>
  <r>
    <s v="ORD00046"/>
    <s v="CUST00046"/>
    <s v="female"/>
    <n v="27"/>
    <s v="adult"/>
    <s v="2024-07-05"/>
    <s v="Jul"/>
    <s v="Returned"/>
    <x v="0"/>
    <s v="Electronics"/>
    <s v="L"/>
    <n v="5"/>
    <s v="high"/>
    <n v="11945"/>
    <x v="0"/>
    <s v="Maharashtra"/>
  </r>
  <r>
    <s v="ORD00047"/>
    <s v="CUST00047"/>
    <s v="female"/>
    <n v="45"/>
    <s v="adult"/>
    <s v="2024-10-28"/>
    <s v="Oct"/>
    <s v="Cancelled"/>
    <x v="1"/>
    <s v="Electronics"/>
    <s v="M"/>
    <n v="1"/>
    <s v="low"/>
    <n v="2955"/>
    <x v="0"/>
    <s v="Maharashtra"/>
  </r>
  <r>
    <s v="ORD00048"/>
    <s v="CUST00048"/>
    <s v="female"/>
    <n v="48"/>
    <s v="senior"/>
    <s v="2024-06-09"/>
    <s v="Jun"/>
    <s v="Returned"/>
    <x v="2"/>
    <s v="Shoes"/>
    <s v="L"/>
    <n v="1"/>
    <s v="low"/>
    <n v="1963"/>
    <x v="5"/>
    <s v="Karnataka"/>
  </r>
  <r>
    <s v="ORD00049"/>
    <s v="CUST00049"/>
    <s v="female"/>
    <n v="46"/>
    <s v="senior"/>
    <s v="2024-03-03"/>
    <s v="Mar"/>
    <s v="Delivered"/>
    <x v="0"/>
    <s v="Electronics"/>
    <s v="XL"/>
    <n v="2"/>
    <s v="high"/>
    <n v="4028"/>
    <x v="3"/>
    <s v="Maharashtra"/>
  </r>
  <r>
    <s v="ORD00050"/>
    <s v="CUST00050"/>
    <s v="female"/>
    <n v="60"/>
    <s v="senior"/>
    <s v="2024-10-13"/>
    <s v="Oct"/>
    <s v="Returned"/>
    <x v="1"/>
    <s v="Accessories"/>
    <s v="L"/>
    <n v="2"/>
    <s v="high"/>
    <n v="3940"/>
    <x v="0"/>
    <s v="Maharashtra"/>
  </r>
  <r>
    <s v="ORD00051"/>
    <s v="CUST00051"/>
    <s v="female"/>
    <n v="37"/>
    <s v="adult"/>
    <s v="2024-08-29"/>
    <s v="Aug"/>
    <s v="Cancelled"/>
    <x v="1"/>
    <s v="Shoes"/>
    <s v="XL"/>
    <n v="5"/>
    <s v="high"/>
    <n v="3530"/>
    <x v="5"/>
    <s v="Karnataka"/>
  </r>
  <r>
    <s v="ORD00052"/>
    <s v="CUST00052"/>
    <s v="male"/>
    <n v="56"/>
    <s v="senior"/>
    <s v="2024-05-22"/>
    <s v="May"/>
    <s v="Delivered"/>
    <x v="1"/>
    <s v="Electronics"/>
    <s v="S"/>
    <n v="1"/>
    <s v="low"/>
    <n v="1107"/>
    <x v="1"/>
    <s v="Maharashtra"/>
  </r>
  <r>
    <s v="ORD00053"/>
    <s v="CUST00053"/>
    <s v="female"/>
    <n v="54"/>
    <s v="senior"/>
    <s v="2024-04-21"/>
    <s v="Apr"/>
    <s v="Delivered"/>
    <x v="2"/>
    <s v="Accessories"/>
    <s v="L"/>
    <n v="4"/>
    <s v="low"/>
    <n v="2152"/>
    <x v="5"/>
    <s v="Karnataka"/>
  </r>
  <r>
    <s v="ORD00054"/>
    <s v="CUST00054"/>
    <s v="female"/>
    <n v="59"/>
    <s v="senior"/>
    <s v="2024-07-15"/>
    <s v="Jul"/>
    <s v="Returned"/>
    <x v="0"/>
    <s v="Shoes"/>
    <s v="S"/>
    <n v="3"/>
    <s v="high"/>
    <n v="8556"/>
    <x v="3"/>
    <s v="Maharashtra"/>
  </r>
  <r>
    <s v="ORD00055"/>
    <s v="CUST00055"/>
    <s v="female"/>
    <n v="20"/>
    <s v="teen"/>
    <s v="2024-12-24"/>
    <s v="Dec"/>
    <s v="Cancelled"/>
    <x v="0"/>
    <s v="Electronics"/>
    <s v="S"/>
    <n v="1"/>
    <s v="low"/>
    <n v="2798"/>
    <x v="3"/>
    <s v="Maharashtra"/>
  </r>
  <r>
    <s v="ORD00056"/>
    <s v="CUST00056"/>
    <s v="male"/>
    <n v="46"/>
    <s v="senior"/>
    <s v="2024-08-25"/>
    <s v="Aug"/>
    <s v="Cancelled"/>
    <x v="2"/>
    <s v="Accessories"/>
    <s v="XL"/>
    <n v="5"/>
    <s v="low"/>
    <n v="2505"/>
    <x v="2"/>
    <s v="Delhi"/>
  </r>
  <r>
    <s v="ORD00057"/>
    <s v="CUST00057"/>
    <s v="female"/>
    <n v="27"/>
    <s v="adult"/>
    <s v="2024-11-02"/>
    <s v="Nov"/>
    <s v="Delivered"/>
    <x v="0"/>
    <s v="Shoes"/>
    <s v="S"/>
    <n v="2"/>
    <s v="low"/>
    <n v="1454"/>
    <x v="1"/>
    <s v="Maharashtra"/>
  </r>
  <r>
    <s v="ORD00058"/>
    <s v="CUST00058"/>
    <s v="male"/>
    <n v="46"/>
    <s v="senior"/>
    <s v="2024-04-29"/>
    <s v="Apr"/>
    <s v="Cancelled"/>
    <x v="0"/>
    <s v="Shoes"/>
    <s v="L"/>
    <n v="4"/>
    <s v="high"/>
    <n v="3968"/>
    <x v="2"/>
    <s v="Delhi"/>
  </r>
  <r>
    <s v="ORD00059"/>
    <s v="CUST00059"/>
    <s v="female"/>
    <n v="24"/>
    <s v="teen"/>
    <s v="2024-04-10"/>
    <s v="Apr"/>
    <s v="Delivered"/>
    <x v="2"/>
    <s v="Shoes"/>
    <s v="L"/>
    <n v="3"/>
    <s v="high"/>
    <n v="3117"/>
    <x v="0"/>
    <s v="Maharashtra"/>
  </r>
  <r>
    <s v="ORD00060"/>
    <s v="CUST00060"/>
    <s v="female"/>
    <n v="44"/>
    <s v="adult"/>
    <s v="2024-12-18"/>
    <s v="Dec"/>
    <s v="Cancelled"/>
    <x v="2"/>
    <s v="Clothing"/>
    <s v="L"/>
    <n v="4"/>
    <s v="high"/>
    <n v="7880"/>
    <x v="7"/>
    <s v="Telangana"/>
  </r>
  <r>
    <s v="ORD00061"/>
    <s v="CUST00061"/>
    <s v="male"/>
    <n v="51"/>
    <s v="senior"/>
    <s v="2024-02-26"/>
    <s v="Feb"/>
    <s v="Delivered"/>
    <x v="2"/>
    <s v="Accessories"/>
    <s v="L"/>
    <n v="2"/>
    <s v="high"/>
    <n v="5402"/>
    <x v="5"/>
    <s v="Karnataka"/>
  </r>
  <r>
    <s v="ORD00062"/>
    <s v="CUST00062"/>
    <s v="female"/>
    <n v="51"/>
    <s v="senior"/>
    <s v="2024-02-08"/>
    <s v="Feb"/>
    <s v="Returned"/>
    <x v="2"/>
    <s v="Shoes"/>
    <s v="M"/>
    <n v="4"/>
    <s v="high"/>
    <n v="8180"/>
    <x v="0"/>
    <s v="Maharashtra"/>
  </r>
  <r>
    <s v="ORD00063"/>
    <s v="CUST00063"/>
    <s v="male"/>
    <n v="54"/>
    <s v="senior"/>
    <s v="2024-07-06"/>
    <s v="Jul"/>
    <s v="Cancelled"/>
    <x v="2"/>
    <s v="Accessories"/>
    <s v="M"/>
    <n v="4"/>
    <s v="high"/>
    <n v="11656"/>
    <x v="7"/>
    <s v="Telangana"/>
  </r>
  <r>
    <s v="ORD00064"/>
    <s v="CUST00064"/>
    <s v="male"/>
    <n v="21"/>
    <s v="teen"/>
    <s v="2024-04-19"/>
    <s v="Apr"/>
    <s v="Delivered"/>
    <x v="2"/>
    <s v="Clothing"/>
    <s v="S"/>
    <n v="1"/>
    <s v="low"/>
    <n v="1954"/>
    <x v="6"/>
    <s v="Tamil Nadu"/>
  </r>
  <r>
    <s v="ORD00065"/>
    <s v="CUST00065"/>
    <s v="male"/>
    <n v="41"/>
    <s v="adult"/>
    <s v="2024-12-20"/>
    <s v="Dec"/>
    <s v="Returned"/>
    <x v="1"/>
    <s v="Electronics"/>
    <s v="XL"/>
    <n v="5"/>
    <s v="high"/>
    <n v="14245"/>
    <x v="2"/>
    <s v="Delhi"/>
  </r>
  <r>
    <s v="ORD00066"/>
    <s v="CUST00066"/>
    <s v="female"/>
    <n v="52"/>
    <s v="senior"/>
    <s v="2024-01-04"/>
    <s v="Jan"/>
    <s v="Returned"/>
    <x v="2"/>
    <s v="Clothing"/>
    <s v="S"/>
    <n v="3"/>
    <s v="low"/>
    <n v="2322"/>
    <x v="5"/>
    <s v="Karnataka"/>
  </r>
  <r>
    <s v="ORD00067"/>
    <s v="CUST00067"/>
    <s v="female"/>
    <n v="31"/>
    <s v="adult"/>
    <s v="2024-10-14"/>
    <s v="Oct"/>
    <s v="Delivered"/>
    <x v="0"/>
    <s v="Clothing"/>
    <s v="L"/>
    <n v="3"/>
    <s v="high"/>
    <n v="8298"/>
    <x v="4"/>
    <s v="Gujarat"/>
  </r>
  <r>
    <s v="ORD00068"/>
    <s v="CUST00068"/>
    <s v="male"/>
    <n v="18"/>
    <s v="teen"/>
    <s v="2024-03-16"/>
    <s v="Mar"/>
    <s v="Returned"/>
    <x v="2"/>
    <s v="Shoes"/>
    <s v="XL"/>
    <n v="2"/>
    <s v="low"/>
    <n v="2854"/>
    <x v="6"/>
    <s v="Tamil Nadu"/>
  </r>
  <r>
    <s v="ORD00069"/>
    <s v="CUST00069"/>
    <s v="male"/>
    <n v="55"/>
    <s v="senior"/>
    <s v="2024-12-05"/>
    <s v="Dec"/>
    <s v="Returned"/>
    <x v="2"/>
    <s v="Shoes"/>
    <s v="XL"/>
    <n v="1"/>
    <s v="low"/>
    <n v="1667"/>
    <x v="5"/>
    <s v="Karnataka"/>
  </r>
  <r>
    <s v="ORD00070"/>
    <s v="CUST00070"/>
    <s v="female"/>
    <n v="42"/>
    <s v="adult"/>
    <s v="2024-12-08"/>
    <s v="Dec"/>
    <s v="Returned"/>
    <x v="0"/>
    <s v="Electronics"/>
    <s v="XL"/>
    <n v="5"/>
    <s v="high"/>
    <n v="4505"/>
    <x v="0"/>
    <s v="Maharashtra"/>
  </r>
  <r>
    <s v="ORD00071"/>
    <s v="CUST00071"/>
    <s v="female"/>
    <n v="30"/>
    <s v="adult"/>
    <s v="2024-05-10"/>
    <s v="May"/>
    <s v="Cancelled"/>
    <x v="2"/>
    <s v="Electronics"/>
    <s v="XL"/>
    <n v="4"/>
    <s v="high"/>
    <n v="11612"/>
    <x v="5"/>
    <s v="Karnataka"/>
  </r>
  <r>
    <s v="ORD00072"/>
    <s v="CUST00072"/>
    <s v="male"/>
    <n v="25"/>
    <s v="adult"/>
    <s v="2024-08-20"/>
    <s v="Aug"/>
    <s v="Cancelled"/>
    <x v="2"/>
    <s v="Clothing"/>
    <s v="S"/>
    <n v="1"/>
    <s v="low"/>
    <n v="2835"/>
    <x v="3"/>
    <s v="Maharashtra"/>
  </r>
  <r>
    <s v="ORD00073"/>
    <s v="CUST00073"/>
    <s v="female"/>
    <n v="32"/>
    <s v="adult"/>
    <s v="2024-01-04"/>
    <s v="Jan"/>
    <s v="Delivered"/>
    <x v="1"/>
    <s v="Shoes"/>
    <s v="M"/>
    <n v="5"/>
    <s v="high"/>
    <n v="9415"/>
    <x v="5"/>
    <s v="Karnataka"/>
  </r>
  <r>
    <s v="ORD00074"/>
    <s v="CUST00074"/>
    <s v="male"/>
    <n v="19"/>
    <s v="teen"/>
    <s v="2024-01-13"/>
    <s v="Jan"/>
    <s v="Cancelled"/>
    <x v="2"/>
    <s v="Accessories"/>
    <s v="XL"/>
    <n v="4"/>
    <s v="low"/>
    <n v="2972"/>
    <x v="4"/>
    <s v="Gujarat"/>
  </r>
  <r>
    <s v="ORD00075"/>
    <s v="CUST00075"/>
    <s v="male"/>
    <n v="49"/>
    <s v="senior"/>
    <s v="2024-05-07"/>
    <s v="May"/>
    <s v="Delivered"/>
    <x v="1"/>
    <s v="Shoes"/>
    <s v="XL"/>
    <n v="1"/>
    <s v="low"/>
    <n v="802"/>
    <x v="0"/>
    <s v="Maharashtra"/>
  </r>
  <r>
    <s v="ORD00076"/>
    <s v="CUST00076"/>
    <s v="male"/>
    <n v="56"/>
    <s v="senior"/>
    <s v="2024-01-20"/>
    <s v="Jan"/>
    <s v="Delivered"/>
    <x v="0"/>
    <s v="Shoes"/>
    <s v="S"/>
    <n v="4"/>
    <s v="high"/>
    <n v="8040"/>
    <x v="4"/>
    <s v="Gujarat"/>
  </r>
  <r>
    <s v="ORD00077"/>
    <s v="CUST00077"/>
    <s v="male"/>
    <n v="18"/>
    <s v="teen"/>
    <s v="2024-02-09"/>
    <s v="Feb"/>
    <s v="Returned"/>
    <x v="0"/>
    <s v="Accessories"/>
    <s v="M"/>
    <n v="5"/>
    <s v="high"/>
    <n v="10840"/>
    <x v="0"/>
    <s v="Maharashtra"/>
  </r>
  <r>
    <s v="ORD00078"/>
    <s v="CUST00078"/>
    <s v="female"/>
    <n v="26"/>
    <s v="adult"/>
    <s v="2024-04-24"/>
    <s v="Apr"/>
    <s v="Returned"/>
    <x v="2"/>
    <s v="Shoes"/>
    <s v="S"/>
    <n v="4"/>
    <s v="high"/>
    <n v="4328"/>
    <x v="6"/>
    <s v="Tamil Nadu"/>
  </r>
  <r>
    <s v="ORD00079"/>
    <s v="CUST00079"/>
    <s v="male"/>
    <n v="44"/>
    <s v="adult"/>
    <s v="2024-11-29"/>
    <s v="Nov"/>
    <s v="Delivered"/>
    <x v="2"/>
    <s v="Clothing"/>
    <s v="L"/>
    <n v="5"/>
    <s v="high"/>
    <n v="3005"/>
    <x v="0"/>
    <s v="Maharashtra"/>
  </r>
  <r>
    <s v="ORD00080"/>
    <s v="CUST00080"/>
    <s v="male"/>
    <n v="60"/>
    <s v="senior"/>
    <s v="2024-12-03"/>
    <s v="Dec"/>
    <s v="Delivered"/>
    <x v="2"/>
    <s v="Accessories"/>
    <s v="S"/>
    <n v="3"/>
    <s v="high"/>
    <n v="3042"/>
    <x v="0"/>
    <s v="Maharashtra"/>
  </r>
  <r>
    <s v="ORD00081"/>
    <s v="CUST00081"/>
    <s v="female"/>
    <n v="30"/>
    <s v="adult"/>
    <s v="2024-02-13"/>
    <s v="Feb"/>
    <s v="Delivered"/>
    <x v="1"/>
    <s v="Electronics"/>
    <s v="S"/>
    <n v="2"/>
    <s v="low"/>
    <n v="2466"/>
    <x v="7"/>
    <s v="Telangana"/>
  </r>
  <r>
    <s v="ORD00082"/>
    <s v="CUST00082"/>
    <s v="male"/>
    <n v="32"/>
    <s v="adult"/>
    <s v="2024-09-18"/>
    <s v="Sep"/>
    <s v="Delivered"/>
    <x v="2"/>
    <s v="Clothing"/>
    <s v="S"/>
    <n v="5"/>
    <s v="high"/>
    <n v="3750"/>
    <x v="7"/>
    <s v="Telangana"/>
  </r>
  <r>
    <s v="ORD00083"/>
    <s v="CUST00083"/>
    <s v="male"/>
    <n v="54"/>
    <s v="senior"/>
    <s v="2024-02-05"/>
    <s v="Feb"/>
    <s v="Delivered"/>
    <x v="1"/>
    <s v="Clothing"/>
    <s v="M"/>
    <n v="4"/>
    <s v="high"/>
    <n v="5528"/>
    <x v="2"/>
    <s v="Delhi"/>
  </r>
  <r>
    <s v="ORD00084"/>
    <s v="CUST00084"/>
    <s v="female"/>
    <n v="25"/>
    <s v="adult"/>
    <s v="2024-03-30"/>
    <s v="Mar"/>
    <s v="Cancelled"/>
    <x v="1"/>
    <s v="Accessories"/>
    <s v="M"/>
    <n v="1"/>
    <s v="low"/>
    <n v="2574"/>
    <x v="4"/>
    <s v="Gujarat"/>
  </r>
  <r>
    <s v="ORD00085"/>
    <s v="CUST00085"/>
    <s v="female"/>
    <n v="39"/>
    <s v="adult"/>
    <s v="2024-03-21"/>
    <s v="Mar"/>
    <s v="Delivered"/>
    <x v="2"/>
    <s v="Electronics"/>
    <s v="M"/>
    <n v="1"/>
    <s v="low"/>
    <n v="2143"/>
    <x v="4"/>
    <s v="Gujarat"/>
  </r>
  <r>
    <s v="ORD00086"/>
    <s v="CUST00086"/>
    <s v="male"/>
    <n v="26"/>
    <s v="adult"/>
    <s v="2024-11-27"/>
    <s v="Nov"/>
    <s v="Returned"/>
    <x v="1"/>
    <s v="Accessories"/>
    <s v="XL"/>
    <n v="3"/>
    <s v="high"/>
    <n v="5076"/>
    <x v="7"/>
    <s v="Telangana"/>
  </r>
  <r>
    <s v="ORD00087"/>
    <s v="CUST00087"/>
    <s v="male"/>
    <n v="38"/>
    <s v="adult"/>
    <s v="2024-08-13"/>
    <s v="Aug"/>
    <s v="Cancelled"/>
    <x v="2"/>
    <s v="Electronics"/>
    <s v="S"/>
    <n v="4"/>
    <s v="high"/>
    <n v="11632"/>
    <x v="4"/>
    <s v="Gujarat"/>
  </r>
  <r>
    <s v="ORD00088"/>
    <s v="CUST00088"/>
    <s v="male"/>
    <n v="26"/>
    <s v="adult"/>
    <s v="2024-12-04"/>
    <s v="Dec"/>
    <s v="Returned"/>
    <x v="0"/>
    <s v="Shoes"/>
    <s v="M"/>
    <n v="3"/>
    <s v="low"/>
    <n v="1587"/>
    <x v="6"/>
    <s v="Tamil Nadu"/>
  </r>
  <r>
    <s v="ORD00089"/>
    <s v="CUST00089"/>
    <s v="female"/>
    <n v="24"/>
    <s v="teen"/>
    <s v="2024-05-06"/>
    <s v="May"/>
    <s v="Cancelled"/>
    <x v="1"/>
    <s v="Electronics"/>
    <s v="XL"/>
    <n v="1"/>
    <s v="low"/>
    <n v="1682"/>
    <x v="5"/>
    <s v="Karnataka"/>
  </r>
  <r>
    <s v="ORD00090"/>
    <s v="CUST00090"/>
    <s v="female"/>
    <n v="52"/>
    <s v="senior"/>
    <s v="2024-03-07"/>
    <s v="Mar"/>
    <s v="Cancelled"/>
    <x v="0"/>
    <s v="Shoes"/>
    <s v="S"/>
    <n v="4"/>
    <s v="high"/>
    <n v="6340"/>
    <x v="1"/>
    <s v="Maharashtra"/>
  </r>
  <r>
    <s v="ORD00091"/>
    <s v="CUST00091"/>
    <s v="female"/>
    <n v="47"/>
    <s v="senior"/>
    <s v="2024-07-26"/>
    <s v="Jul"/>
    <s v="Returned"/>
    <x v="0"/>
    <s v="Electronics"/>
    <s v="XL"/>
    <n v="2"/>
    <s v="high"/>
    <n v="4164"/>
    <x v="1"/>
    <s v="Maharashtra"/>
  </r>
  <r>
    <s v="ORD00092"/>
    <s v="CUST00092"/>
    <s v="female"/>
    <n v="56"/>
    <s v="senior"/>
    <s v="2024-07-28"/>
    <s v="Jul"/>
    <s v="Cancelled"/>
    <x v="0"/>
    <s v="Clothing"/>
    <s v="S"/>
    <n v="2"/>
    <s v="high"/>
    <n v="5416"/>
    <x v="6"/>
    <s v="Tamil Nadu"/>
  </r>
  <r>
    <s v="ORD00093"/>
    <s v="CUST00093"/>
    <s v="female"/>
    <n v="39"/>
    <s v="adult"/>
    <s v="2024-03-25"/>
    <s v="Mar"/>
    <s v="Delivered"/>
    <x v="0"/>
    <s v="Accessories"/>
    <s v="XL"/>
    <n v="5"/>
    <s v="high"/>
    <n v="7765"/>
    <x v="1"/>
    <s v="Maharashtra"/>
  </r>
  <r>
    <s v="ORD00094"/>
    <s v="CUST00094"/>
    <s v="female"/>
    <n v="52"/>
    <s v="senior"/>
    <s v="2024-05-31"/>
    <s v="May"/>
    <s v="Cancelled"/>
    <x v="1"/>
    <s v="Electronics"/>
    <s v="M"/>
    <n v="4"/>
    <s v="high"/>
    <n v="10424"/>
    <x v="4"/>
    <s v="Gujarat"/>
  </r>
  <r>
    <s v="ORD00095"/>
    <s v="CUST00095"/>
    <s v="male"/>
    <n v="27"/>
    <s v="adult"/>
    <s v="2024-04-02"/>
    <s v="Apr"/>
    <s v="Delivered"/>
    <x v="1"/>
    <s v="Accessories"/>
    <s v="XL"/>
    <n v="2"/>
    <s v="high"/>
    <n v="5614"/>
    <x v="4"/>
    <s v="Gujarat"/>
  </r>
  <r>
    <s v="ORD00096"/>
    <s v="CUST00096"/>
    <s v="female"/>
    <n v="26"/>
    <s v="adult"/>
    <s v="2024-01-27"/>
    <s v="Jan"/>
    <s v="Delivered"/>
    <x v="2"/>
    <s v="Clothing"/>
    <s v="S"/>
    <n v="2"/>
    <s v="high"/>
    <n v="3838"/>
    <x v="5"/>
    <s v="Karnataka"/>
  </r>
  <r>
    <s v="ORD00097"/>
    <s v="CUST00097"/>
    <s v="female"/>
    <n v="56"/>
    <s v="senior"/>
    <s v="2024-06-29"/>
    <s v="Jun"/>
    <s v="Cancelled"/>
    <x v="0"/>
    <s v="Accessories"/>
    <s v="XL"/>
    <n v="4"/>
    <s v="high"/>
    <n v="9900"/>
    <x v="7"/>
    <s v="Telangana"/>
  </r>
  <r>
    <s v="ORD00098"/>
    <s v="CUST00098"/>
    <s v="female"/>
    <n v="25"/>
    <s v="adult"/>
    <s v="2024-01-13"/>
    <s v="Jan"/>
    <s v="Returned"/>
    <x v="0"/>
    <s v="Clothing"/>
    <s v="S"/>
    <n v="2"/>
    <s v="high"/>
    <n v="5170"/>
    <x v="7"/>
    <s v="Telangana"/>
  </r>
  <r>
    <s v="ORD00099"/>
    <s v="CUST00099"/>
    <s v="female"/>
    <n v="27"/>
    <s v="adult"/>
    <s v="2024-03-25"/>
    <s v="Mar"/>
    <s v="Delivered"/>
    <x v="0"/>
    <s v="Shoes"/>
    <s v="S"/>
    <n v="4"/>
    <s v="high"/>
    <n v="4868"/>
    <x v="2"/>
    <s v="Delhi"/>
  </r>
  <r>
    <s v="ORD00100"/>
    <s v="CUST00100"/>
    <s v="male"/>
    <n v="42"/>
    <s v="adult"/>
    <s v="2024-09-13"/>
    <s v="Sep"/>
    <s v="Delivered"/>
    <x v="2"/>
    <s v="Accessories"/>
    <s v="XL"/>
    <n v="1"/>
    <s v="low"/>
    <n v="2253"/>
    <x v="3"/>
    <s v="Maharashtra"/>
  </r>
  <r>
    <s v="ORD00101"/>
    <s v="CUST00101"/>
    <s v="male"/>
    <n v="48"/>
    <s v="senior"/>
    <s v="2024-08-22"/>
    <s v="Aug"/>
    <s v="Returned"/>
    <x v="0"/>
    <s v="Clothing"/>
    <s v="M"/>
    <n v="3"/>
    <s v="high"/>
    <n v="8256"/>
    <x v="0"/>
    <s v="Maharashtra"/>
  </r>
  <r>
    <s v="ORD00102"/>
    <s v="CUST00102"/>
    <s v="female"/>
    <n v="24"/>
    <s v="teen"/>
    <s v="2024-05-31"/>
    <s v="May"/>
    <s v="Returned"/>
    <x v="0"/>
    <s v="Electronics"/>
    <s v="S"/>
    <n v="5"/>
    <s v="high"/>
    <n v="11005"/>
    <x v="1"/>
    <s v="Maharashtra"/>
  </r>
  <r>
    <s v="ORD00103"/>
    <s v="CUST00103"/>
    <s v="male"/>
    <n v="54"/>
    <s v="senior"/>
    <s v="2024-02-04"/>
    <s v="Feb"/>
    <s v="Cancelled"/>
    <x v="2"/>
    <s v="Electronics"/>
    <s v="S"/>
    <n v="1"/>
    <s v="low"/>
    <n v="2324"/>
    <x v="1"/>
    <s v="Maharashtra"/>
  </r>
  <r>
    <s v="ORD00104"/>
    <s v="CUST00104"/>
    <s v="male"/>
    <n v="22"/>
    <s v="teen"/>
    <s v="2024-07-07"/>
    <s v="Jul"/>
    <s v="Returned"/>
    <x v="1"/>
    <s v="Shoes"/>
    <s v="XL"/>
    <n v="2"/>
    <s v="high"/>
    <n v="4030"/>
    <x v="5"/>
    <s v="Karnataka"/>
  </r>
  <r>
    <s v="ORD00105"/>
    <s v="CUST00105"/>
    <s v="female"/>
    <n v="34"/>
    <s v="adult"/>
    <s v="2024-12-28"/>
    <s v="Dec"/>
    <s v="Cancelled"/>
    <x v="1"/>
    <s v="Clothing"/>
    <s v="S"/>
    <n v="5"/>
    <s v="high"/>
    <n v="5565"/>
    <x v="2"/>
    <s v="Delhi"/>
  </r>
  <r>
    <s v="ORD00106"/>
    <s v="CUST00106"/>
    <s v="male"/>
    <n v="24"/>
    <s v="teen"/>
    <s v="2024-02-08"/>
    <s v="Feb"/>
    <s v="Returned"/>
    <x v="0"/>
    <s v="Clothing"/>
    <s v="S"/>
    <n v="4"/>
    <s v="high"/>
    <n v="7716"/>
    <x v="6"/>
    <s v="Tamil Nadu"/>
  </r>
  <r>
    <s v="ORD00107"/>
    <s v="CUST00107"/>
    <s v="male"/>
    <n v="43"/>
    <s v="adult"/>
    <s v="2024-08-24"/>
    <s v="Aug"/>
    <s v="Delivered"/>
    <x v="0"/>
    <s v="Accessories"/>
    <s v="S"/>
    <n v="5"/>
    <s v="high"/>
    <n v="10580"/>
    <x v="3"/>
    <s v="Maharashtra"/>
  </r>
  <r>
    <s v="ORD00108"/>
    <s v="CUST00108"/>
    <s v="male"/>
    <n v="55"/>
    <s v="senior"/>
    <s v="2024-08-13"/>
    <s v="Aug"/>
    <s v="Returned"/>
    <x v="0"/>
    <s v="Electronics"/>
    <s v="M"/>
    <n v="3"/>
    <s v="low"/>
    <n v="1770"/>
    <x v="3"/>
    <s v="Maharashtra"/>
  </r>
  <r>
    <s v="ORD00109"/>
    <s v="CUST00109"/>
    <s v="male"/>
    <n v="49"/>
    <s v="senior"/>
    <s v="2024-07-14"/>
    <s v="Jul"/>
    <s v="Delivered"/>
    <x v="1"/>
    <s v="Shoes"/>
    <s v="L"/>
    <n v="1"/>
    <s v="low"/>
    <n v="2048"/>
    <x v="6"/>
    <s v="Tamil Nadu"/>
  </r>
  <r>
    <s v="ORD00110"/>
    <s v="CUST00110"/>
    <s v="female"/>
    <n v="41"/>
    <s v="adult"/>
    <s v="2024-10-30"/>
    <s v="Oct"/>
    <s v="Returned"/>
    <x v="1"/>
    <s v="Electronics"/>
    <s v="L"/>
    <n v="5"/>
    <s v="high"/>
    <n v="13270"/>
    <x v="5"/>
    <s v="Karnataka"/>
  </r>
  <r>
    <s v="ORD00111"/>
    <s v="CUST00111"/>
    <s v="male"/>
    <n v="60"/>
    <s v="senior"/>
    <s v="2024-01-24"/>
    <s v="Jan"/>
    <s v="Cancelled"/>
    <x v="0"/>
    <s v="Electronics"/>
    <s v="S"/>
    <n v="4"/>
    <s v="high"/>
    <n v="8120"/>
    <x v="0"/>
    <s v="Maharashtra"/>
  </r>
  <r>
    <s v="ORD00112"/>
    <s v="CUST00112"/>
    <s v="female"/>
    <n v="22"/>
    <s v="teen"/>
    <s v="2024-04-20"/>
    <s v="Apr"/>
    <s v="Returned"/>
    <x v="1"/>
    <s v="Electronics"/>
    <s v="M"/>
    <n v="4"/>
    <s v="high"/>
    <n v="11708"/>
    <x v="5"/>
    <s v="Karnataka"/>
  </r>
  <r>
    <s v="ORD00113"/>
    <s v="CUST00113"/>
    <s v="male"/>
    <n v="35"/>
    <s v="adult"/>
    <s v="2024-12-29"/>
    <s v="Dec"/>
    <s v="Cancelled"/>
    <x v="2"/>
    <s v="Clothing"/>
    <s v="S"/>
    <n v="4"/>
    <s v="high"/>
    <n v="9320"/>
    <x v="6"/>
    <s v="Tamil Nadu"/>
  </r>
  <r>
    <s v="ORD00114"/>
    <s v="CUST00114"/>
    <s v="female"/>
    <n v="47"/>
    <s v="senior"/>
    <s v="2024-04-13"/>
    <s v="Apr"/>
    <s v="Delivered"/>
    <x v="1"/>
    <s v="Clothing"/>
    <s v="S"/>
    <n v="2"/>
    <s v="high"/>
    <n v="5106"/>
    <x v="6"/>
    <s v="Tamil Nadu"/>
  </r>
  <r>
    <s v="ORD00115"/>
    <s v="CUST00115"/>
    <s v="female"/>
    <n v="19"/>
    <s v="teen"/>
    <s v="2024-02-27"/>
    <s v="Feb"/>
    <s v="Delivered"/>
    <x v="2"/>
    <s v="Electronics"/>
    <s v="L"/>
    <n v="3"/>
    <s v="low"/>
    <n v="2544"/>
    <x v="0"/>
    <s v="Maharashtra"/>
  </r>
  <r>
    <s v="ORD00116"/>
    <s v="CUST00116"/>
    <s v="male"/>
    <n v="42"/>
    <s v="adult"/>
    <s v="2024-05-29"/>
    <s v="May"/>
    <s v="Returned"/>
    <x v="1"/>
    <s v="Clothing"/>
    <s v="L"/>
    <n v="2"/>
    <s v="high"/>
    <n v="5708"/>
    <x v="2"/>
    <s v="Delhi"/>
  </r>
  <r>
    <s v="ORD00117"/>
    <s v="CUST00117"/>
    <s v="female"/>
    <n v="32"/>
    <s v="adult"/>
    <s v="2024-04-03"/>
    <s v="Apr"/>
    <s v="Cancelled"/>
    <x v="1"/>
    <s v="Accessories"/>
    <s v="M"/>
    <n v="2"/>
    <s v="low"/>
    <n v="1864"/>
    <x v="6"/>
    <s v="Tamil Nadu"/>
  </r>
  <r>
    <s v="ORD00118"/>
    <s v="CUST00118"/>
    <s v="male"/>
    <n v="36"/>
    <s v="adult"/>
    <s v="2024-05-31"/>
    <s v="May"/>
    <s v="Returned"/>
    <x v="2"/>
    <s v="Electronics"/>
    <s v="M"/>
    <n v="1"/>
    <s v="low"/>
    <n v="1060"/>
    <x v="2"/>
    <s v="Delhi"/>
  </r>
  <r>
    <s v="ORD00119"/>
    <s v="CUST00119"/>
    <s v="female"/>
    <n v="24"/>
    <s v="teen"/>
    <s v="2024-04-17"/>
    <s v="Apr"/>
    <s v="Cancelled"/>
    <x v="1"/>
    <s v="Shoes"/>
    <s v="M"/>
    <n v="3"/>
    <s v="high"/>
    <n v="8385"/>
    <x v="0"/>
    <s v="Maharashtra"/>
  </r>
  <r>
    <s v="ORD00120"/>
    <s v="CUST00120"/>
    <s v="male"/>
    <n v="33"/>
    <s v="adult"/>
    <s v="2024-03-01"/>
    <s v="Mar"/>
    <s v="Delivered"/>
    <x v="2"/>
    <s v="Accessories"/>
    <s v="L"/>
    <n v="3"/>
    <s v="high"/>
    <n v="3636"/>
    <x v="3"/>
    <s v="Maharashtra"/>
  </r>
  <r>
    <s v="ORD00121"/>
    <s v="CUST00121"/>
    <s v="male"/>
    <n v="24"/>
    <s v="teen"/>
    <s v="2024-01-12"/>
    <s v="Jan"/>
    <s v="Delivered"/>
    <x v="0"/>
    <s v="Shoes"/>
    <s v="S"/>
    <n v="4"/>
    <s v="high"/>
    <n v="7432"/>
    <x v="5"/>
    <s v="Karnataka"/>
  </r>
  <r>
    <s v="ORD00122"/>
    <s v="CUST00122"/>
    <s v="female"/>
    <n v="26"/>
    <s v="adult"/>
    <s v="2024-11-04"/>
    <s v="Nov"/>
    <s v="Returned"/>
    <x v="0"/>
    <s v="Electronics"/>
    <s v="M"/>
    <n v="5"/>
    <s v="high"/>
    <n v="5030"/>
    <x v="6"/>
    <s v="Tamil Nadu"/>
  </r>
  <r>
    <s v="ORD00123"/>
    <s v="CUST00123"/>
    <s v="male"/>
    <n v="39"/>
    <s v="adult"/>
    <s v="2024-06-18"/>
    <s v="Jun"/>
    <s v="Delivered"/>
    <x v="1"/>
    <s v="Clothing"/>
    <s v="XL"/>
    <n v="2"/>
    <s v="high"/>
    <n v="4984"/>
    <x v="4"/>
    <s v="Gujarat"/>
  </r>
  <r>
    <s v="ORD00124"/>
    <s v="CUST00124"/>
    <s v="female"/>
    <n v="28"/>
    <s v="adult"/>
    <s v="2024-05-04"/>
    <s v="May"/>
    <s v="Delivered"/>
    <x v="0"/>
    <s v="Accessories"/>
    <s v="L"/>
    <n v="3"/>
    <s v="high"/>
    <n v="4887"/>
    <x v="0"/>
    <s v="Maharashtra"/>
  </r>
  <r>
    <s v="ORD00125"/>
    <s v="CUST00125"/>
    <s v="male"/>
    <n v="22"/>
    <s v="teen"/>
    <s v="2024-11-20"/>
    <s v="Nov"/>
    <s v="Returned"/>
    <x v="1"/>
    <s v="Clothing"/>
    <s v="S"/>
    <n v="2"/>
    <s v="low"/>
    <n v="2450"/>
    <x v="3"/>
    <s v="Maharashtra"/>
  </r>
  <r>
    <s v="ORD00126"/>
    <s v="CUST00126"/>
    <s v="female"/>
    <n v="60"/>
    <s v="senior"/>
    <s v="2024-05-18"/>
    <s v="May"/>
    <s v="Cancelled"/>
    <x v="2"/>
    <s v="Clothing"/>
    <s v="L"/>
    <n v="3"/>
    <s v="high"/>
    <n v="5670"/>
    <x v="4"/>
    <s v="Gujarat"/>
  </r>
  <r>
    <s v="ORD00127"/>
    <s v="CUST00127"/>
    <s v="male"/>
    <n v="44"/>
    <s v="adult"/>
    <s v="2024-05-30"/>
    <s v="May"/>
    <s v="Delivered"/>
    <x v="1"/>
    <s v="Clothing"/>
    <s v="S"/>
    <n v="3"/>
    <s v="high"/>
    <n v="4893"/>
    <x v="5"/>
    <s v="Karnataka"/>
  </r>
  <r>
    <s v="ORD00128"/>
    <s v="CUST00128"/>
    <s v="male"/>
    <n v="57"/>
    <s v="senior"/>
    <s v="2024-04-19"/>
    <s v="Apr"/>
    <s v="Delivered"/>
    <x v="0"/>
    <s v="Electronics"/>
    <s v="XL"/>
    <n v="2"/>
    <s v="high"/>
    <n v="3522"/>
    <x v="6"/>
    <s v="Tamil Nadu"/>
  </r>
  <r>
    <s v="ORD00129"/>
    <s v="CUST00129"/>
    <s v="male"/>
    <n v="50"/>
    <s v="senior"/>
    <s v="2024-09-23"/>
    <s v="Sep"/>
    <s v="Returned"/>
    <x v="1"/>
    <s v="Shoes"/>
    <s v="M"/>
    <n v="1"/>
    <s v="low"/>
    <n v="2095"/>
    <x v="2"/>
    <s v="Delhi"/>
  </r>
  <r>
    <s v="ORD00130"/>
    <s v="CUST00130"/>
    <s v="female"/>
    <n v="44"/>
    <s v="adult"/>
    <s v="2024-06-28"/>
    <s v="Jun"/>
    <s v="Returned"/>
    <x v="1"/>
    <s v="Electronics"/>
    <s v="L"/>
    <n v="4"/>
    <s v="high"/>
    <n v="8080"/>
    <x v="1"/>
    <s v="Maharashtra"/>
  </r>
  <r>
    <s v="ORD00131"/>
    <s v="CUST00131"/>
    <s v="male"/>
    <n v="22"/>
    <s v="teen"/>
    <s v="2024-05-07"/>
    <s v="May"/>
    <s v="Delivered"/>
    <x v="2"/>
    <s v="Accessories"/>
    <s v="M"/>
    <n v="5"/>
    <s v="high"/>
    <n v="7485"/>
    <x v="4"/>
    <s v="Gujarat"/>
  </r>
  <r>
    <s v="ORD00132"/>
    <s v="CUST00132"/>
    <s v="female"/>
    <n v="42"/>
    <s v="adult"/>
    <s v="2024-01-14"/>
    <s v="Jan"/>
    <s v="Cancelled"/>
    <x v="1"/>
    <s v="Electronics"/>
    <s v="M"/>
    <n v="5"/>
    <s v="high"/>
    <n v="9440"/>
    <x v="5"/>
    <s v="Karnataka"/>
  </r>
  <r>
    <s v="ORD00133"/>
    <s v="CUST00133"/>
    <s v="female"/>
    <n v="28"/>
    <s v="adult"/>
    <s v="2024-11-14"/>
    <s v="Nov"/>
    <s v="Returned"/>
    <x v="0"/>
    <s v="Shoes"/>
    <s v="XL"/>
    <n v="5"/>
    <s v="high"/>
    <n v="8990"/>
    <x v="5"/>
    <s v="Karnataka"/>
  </r>
  <r>
    <s v="ORD00134"/>
    <s v="CUST00134"/>
    <s v="male"/>
    <n v="53"/>
    <s v="senior"/>
    <s v="2024-06-09"/>
    <s v="Jun"/>
    <s v="Cancelled"/>
    <x v="0"/>
    <s v="Shoes"/>
    <s v="M"/>
    <n v="2"/>
    <s v="high"/>
    <n v="5740"/>
    <x v="4"/>
    <s v="Gujarat"/>
  </r>
  <r>
    <s v="ORD00135"/>
    <s v="CUST00135"/>
    <s v="male"/>
    <n v="37"/>
    <s v="adult"/>
    <s v="2024-06-15"/>
    <s v="Jun"/>
    <s v="Cancelled"/>
    <x v="2"/>
    <s v="Accessories"/>
    <s v="M"/>
    <n v="5"/>
    <s v="high"/>
    <n v="6665"/>
    <x v="0"/>
    <s v="Maharashtra"/>
  </r>
  <r>
    <s v="ORD00136"/>
    <s v="CUST00136"/>
    <s v="female"/>
    <n v="40"/>
    <s v="adult"/>
    <s v="2024-06-30"/>
    <s v="Jun"/>
    <s v="Delivered"/>
    <x v="0"/>
    <s v="Clothing"/>
    <s v="S"/>
    <n v="5"/>
    <s v="high"/>
    <n v="12190"/>
    <x v="2"/>
    <s v="Delhi"/>
  </r>
  <r>
    <s v="ORD00137"/>
    <s v="CUST00137"/>
    <s v="male"/>
    <n v="19"/>
    <s v="teen"/>
    <s v="2024-03-22"/>
    <s v="Mar"/>
    <s v="Returned"/>
    <x v="1"/>
    <s v="Electronics"/>
    <s v="S"/>
    <n v="4"/>
    <s v="high"/>
    <n v="11968"/>
    <x v="4"/>
    <s v="Gujarat"/>
  </r>
  <r>
    <s v="ORD00138"/>
    <s v="CUST00138"/>
    <s v="female"/>
    <n v="44"/>
    <s v="adult"/>
    <s v="2024-11-09"/>
    <s v="Nov"/>
    <s v="Returned"/>
    <x v="2"/>
    <s v="Shoes"/>
    <s v="L"/>
    <n v="1"/>
    <s v="low"/>
    <n v="867"/>
    <x v="3"/>
    <s v="Maharashtra"/>
  </r>
  <r>
    <s v="ORD00139"/>
    <s v="CUST00139"/>
    <s v="female"/>
    <n v="51"/>
    <s v="senior"/>
    <s v="2024-12-10"/>
    <s v="Dec"/>
    <s v="Cancelled"/>
    <x v="1"/>
    <s v="Accessories"/>
    <s v="L"/>
    <n v="4"/>
    <s v="high"/>
    <n v="6464"/>
    <x v="0"/>
    <s v="Maharashtra"/>
  </r>
  <r>
    <s v="ORD00140"/>
    <s v="CUST00140"/>
    <s v="male"/>
    <n v="27"/>
    <s v="adult"/>
    <s v="2024-09-02"/>
    <s v="Sep"/>
    <s v="Delivered"/>
    <x v="1"/>
    <s v="Clothing"/>
    <s v="S"/>
    <n v="4"/>
    <s v="high"/>
    <n v="9380"/>
    <x v="7"/>
    <s v="Telangana"/>
  </r>
  <r>
    <s v="ORD00141"/>
    <s v="CUST00141"/>
    <s v="female"/>
    <n v="25"/>
    <s v="adult"/>
    <s v="2024-10-14"/>
    <s v="Oct"/>
    <s v="Delivered"/>
    <x v="2"/>
    <s v="Shoes"/>
    <s v="M"/>
    <n v="3"/>
    <s v="high"/>
    <n v="6096"/>
    <x v="4"/>
    <s v="Gujarat"/>
  </r>
  <r>
    <s v="ORD00142"/>
    <s v="CUST00142"/>
    <s v="female"/>
    <n v="21"/>
    <s v="teen"/>
    <s v="2024-09-30"/>
    <s v="Sep"/>
    <s v="Returned"/>
    <x v="1"/>
    <s v="Electronics"/>
    <s v="S"/>
    <n v="4"/>
    <s v="high"/>
    <n v="11104"/>
    <x v="6"/>
    <s v="Tamil Nadu"/>
  </r>
  <r>
    <s v="ORD00143"/>
    <s v="CUST00143"/>
    <s v="female"/>
    <n v="19"/>
    <s v="teen"/>
    <s v="2024-11-19"/>
    <s v="Nov"/>
    <s v="Returned"/>
    <x v="0"/>
    <s v="Electronics"/>
    <s v="L"/>
    <n v="4"/>
    <s v="high"/>
    <n v="7548"/>
    <x v="6"/>
    <s v="Tamil Nadu"/>
  </r>
  <r>
    <s v="ORD00144"/>
    <s v="CUST00144"/>
    <s v="male"/>
    <n v="37"/>
    <s v="adult"/>
    <s v="2024-04-08"/>
    <s v="Apr"/>
    <s v="Returned"/>
    <x v="0"/>
    <s v="Clothing"/>
    <s v="M"/>
    <n v="3"/>
    <s v="low"/>
    <n v="2676"/>
    <x v="6"/>
    <s v="Tamil Nadu"/>
  </r>
  <r>
    <s v="ORD00145"/>
    <s v="CUST00145"/>
    <s v="male"/>
    <n v="39"/>
    <s v="adult"/>
    <s v="2024-11-05"/>
    <s v="Nov"/>
    <s v="Delivered"/>
    <x v="1"/>
    <s v="Shoes"/>
    <s v="M"/>
    <n v="5"/>
    <s v="high"/>
    <n v="12305"/>
    <x v="0"/>
    <s v="Maharashtra"/>
  </r>
  <r>
    <s v="ORD00146"/>
    <s v="CUST00146"/>
    <s v="female"/>
    <n v="23"/>
    <s v="teen"/>
    <s v="2024-03-05"/>
    <s v="Mar"/>
    <s v="Returned"/>
    <x v="0"/>
    <s v="Accessories"/>
    <s v="XL"/>
    <n v="4"/>
    <s v="high"/>
    <n v="7764"/>
    <x v="0"/>
    <s v="Maharashtra"/>
  </r>
  <r>
    <s v="ORD00147"/>
    <s v="CUST00147"/>
    <s v="female"/>
    <n v="33"/>
    <s v="adult"/>
    <s v="2024-05-25"/>
    <s v="May"/>
    <s v="Returned"/>
    <x v="1"/>
    <s v="Clothing"/>
    <s v="XL"/>
    <n v="2"/>
    <s v="low"/>
    <n v="2934"/>
    <x v="1"/>
    <s v="Maharashtra"/>
  </r>
  <r>
    <s v="ORD00148"/>
    <s v="CUST00148"/>
    <s v="male"/>
    <n v="37"/>
    <s v="adult"/>
    <s v="2024-01-10"/>
    <s v="Jan"/>
    <s v="Delivered"/>
    <x v="2"/>
    <s v="Clothing"/>
    <s v="XL"/>
    <n v="1"/>
    <s v="low"/>
    <n v="2936"/>
    <x v="6"/>
    <s v="Tamil Nadu"/>
  </r>
  <r>
    <s v="ORD00149"/>
    <s v="CUST00149"/>
    <s v="male"/>
    <n v="34"/>
    <s v="adult"/>
    <s v="2024-10-12"/>
    <s v="Oct"/>
    <s v="Delivered"/>
    <x v="0"/>
    <s v="Electronics"/>
    <s v="M"/>
    <n v="3"/>
    <s v="high"/>
    <n v="4149"/>
    <x v="1"/>
    <s v="Maharashtra"/>
  </r>
  <r>
    <s v="ORD00150"/>
    <s v="CUST00150"/>
    <s v="male"/>
    <n v="29"/>
    <s v="adult"/>
    <s v="2024-04-17"/>
    <s v="Apr"/>
    <s v="Delivered"/>
    <x v="1"/>
    <s v="Clothing"/>
    <s v="M"/>
    <n v="4"/>
    <s v="high"/>
    <n v="5560"/>
    <x v="1"/>
    <s v="Maharashtra"/>
  </r>
  <r>
    <s v="ORD00151"/>
    <s v="CUST00151"/>
    <s v="male"/>
    <n v="38"/>
    <s v="adult"/>
    <s v="2024-10-17"/>
    <s v="Oct"/>
    <s v="Returned"/>
    <x v="0"/>
    <s v="Clothing"/>
    <s v="S"/>
    <n v="2"/>
    <s v="high"/>
    <n v="4424"/>
    <x v="0"/>
    <s v="Maharashtra"/>
  </r>
  <r>
    <s v="ORD00152"/>
    <s v="CUST00152"/>
    <s v="male"/>
    <n v="24"/>
    <s v="teen"/>
    <s v="2024-08-26"/>
    <s v="Aug"/>
    <s v="Delivered"/>
    <x v="2"/>
    <s v="Accessories"/>
    <s v="XL"/>
    <n v="3"/>
    <s v="high"/>
    <n v="6702"/>
    <x v="1"/>
    <s v="Maharashtra"/>
  </r>
  <r>
    <s v="ORD00153"/>
    <s v="CUST00153"/>
    <s v="male"/>
    <n v="58"/>
    <s v="senior"/>
    <s v="2024-05-15"/>
    <s v="May"/>
    <s v="Cancelled"/>
    <x v="2"/>
    <s v="Shoes"/>
    <s v="XL"/>
    <n v="1"/>
    <s v="low"/>
    <n v="653"/>
    <x v="0"/>
    <s v="Maharashtra"/>
  </r>
  <r>
    <s v="ORD00154"/>
    <s v="CUST00154"/>
    <s v="female"/>
    <n v="57"/>
    <s v="senior"/>
    <s v="2024-08-01"/>
    <s v="Aug"/>
    <s v="Delivered"/>
    <x v="2"/>
    <s v="Clothing"/>
    <s v="XL"/>
    <n v="3"/>
    <s v="high"/>
    <n v="8973"/>
    <x v="3"/>
    <s v="Maharashtra"/>
  </r>
  <r>
    <s v="ORD00155"/>
    <s v="CUST00155"/>
    <s v="female"/>
    <n v="31"/>
    <s v="adult"/>
    <s v="2024-08-11"/>
    <s v="Aug"/>
    <s v="Delivered"/>
    <x v="2"/>
    <s v="Electronics"/>
    <s v="M"/>
    <n v="3"/>
    <s v="high"/>
    <n v="3117"/>
    <x v="4"/>
    <s v="Gujarat"/>
  </r>
  <r>
    <s v="ORD00156"/>
    <s v="CUST00156"/>
    <s v="female"/>
    <n v="42"/>
    <s v="adult"/>
    <s v="2024-10-09"/>
    <s v="Oct"/>
    <s v="Delivered"/>
    <x v="1"/>
    <s v="Shoes"/>
    <s v="L"/>
    <n v="1"/>
    <s v="low"/>
    <n v="1103"/>
    <x v="2"/>
    <s v="Delhi"/>
  </r>
  <r>
    <s v="ORD00157"/>
    <s v="CUST00157"/>
    <s v="male"/>
    <n v="32"/>
    <s v="adult"/>
    <s v="2024-04-09"/>
    <s v="Apr"/>
    <s v="Delivered"/>
    <x v="2"/>
    <s v="Clothing"/>
    <s v="L"/>
    <n v="4"/>
    <s v="high"/>
    <n v="7888"/>
    <x v="4"/>
    <s v="Gujarat"/>
  </r>
  <r>
    <s v="ORD00158"/>
    <s v="CUST00158"/>
    <s v="male"/>
    <n v="59"/>
    <s v="senior"/>
    <s v="2024-08-29"/>
    <s v="Aug"/>
    <s v="Cancelled"/>
    <x v="2"/>
    <s v="Accessories"/>
    <s v="XL"/>
    <n v="4"/>
    <s v="high"/>
    <n v="6172"/>
    <x v="7"/>
    <s v="Telangana"/>
  </r>
  <r>
    <s v="ORD00159"/>
    <s v="CUST00159"/>
    <s v="male"/>
    <n v="44"/>
    <s v="adult"/>
    <s v="2024-12-31"/>
    <s v="Dec"/>
    <s v="Returned"/>
    <x v="1"/>
    <s v="Electronics"/>
    <s v="M"/>
    <n v="5"/>
    <s v="high"/>
    <n v="10830"/>
    <x v="3"/>
    <s v="Maharashtra"/>
  </r>
  <r>
    <s v="ORD00160"/>
    <s v="CUST00160"/>
    <s v="female"/>
    <n v="19"/>
    <s v="teen"/>
    <s v="2024-04-30"/>
    <s v="Apr"/>
    <s v="Cancelled"/>
    <x v="2"/>
    <s v="Accessories"/>
    <s v="XL"/>
    <n v="4"/>
    <s v="low"/>
    <n v="2352"/>
    <x v="2"/>
    <s v="Delhi"/>
  </r>
  <r>
    <s v="ORD00161"/>
    <s v="CUST00161"/>
    <s v="female"/>
    <n v="19"/>
    <s v="teen"/>
    <s v="2024-10-31"/>
    <s v="Oct"/>
    <s v="Cancelled"/>
    <x v="1"/>
    <s v="Electronics"/>
    <s v="S"/>
    <n v="1"/>
    <s v="low"/>
    <n v="2122"/>
    <x v="3"/>
    <s v="Maharashtra"/>
  </r>
  <r>
    <s v="ORD00162"/>
    <s v="CUST00162"/>
    <s v="female"/>
    <n v="40"/>
    <s v="adult"/>
    <s v="2024-03-22"/>
    <s v="Mar"/>
    <s v="Returned"/>
    <x v="2"/>
    <s v="Clothing"/>
    <s v="S"/>
    <n v="3"/>
    <s v="high"/>
    <n v="5652"/>
    <x v="5"/>
    <s v="Karnataka"/>
  </r>
  <r>
    <s v="ORD00163"/>
    <s v="CUST00163"/>
    <s v="male"/>
    <n v="31"/>
    <s v="adult"/>
    <s v="2024-01-21"/>
    <s v="Jan"/>
    <s v="Cancelled"/>
    <x v="0"/>
    <s v="Clothing"/>
    <s v="XL"/>
    <n v="5"/>
    <s v="high"/>
    <n v="4520"/>
    <x v="2"/>
    <s v="Delhi"/>
  </r>
  <r>
    <s v="ORD00164"/>
    <s v="CUST00164"/>
    <s v="female"/>
    <n v="49"/>
    <s v="senior"/>
    <s v="2024-10-24"/>
    <s v="Oct"/>
    <s v="Returned"/>
    <x v="2"/>
    <s v="Electronics"/>
    <s v="XL"/>
    <n v="4"/>
    <s v="high"/>
    <n v="7096"/>
    <x v="2"/>
    <s v="Delhi"/>
  </r>
  <r>
    <s v="ORD00165"/>
    <s v="CUST00165"/>
    <s v="male"/>
    <n v="25"/>
    <s v="adult"/>
    <s v="2024-02-21"/>
    <s v="Feb"/>
    <s v="Delivered"/>
    <x v="2"/>
    <s v="Shoes"/>
    <s v="M"/>
    <n v="4"/>
    <s v="high"/>
    <n v="9232"/>
    <x v="2"/>
    <s v="Delhi"/>
  </r>
  <r>
    <s v="ORD00166"/>
    <s v="CUST00166"/>
    <s v="female"/>
    <n v="20"/>
    <s v="teen"/>
    <s v="2024-06-01"/>
    <s v="Jun"/>
    <s v="Cancelled"/>
    <x v="0"/>
    <s v="Accessories"/>
    <s v="L"/>
    <n v="5"/>
    <s v="high"/>
    <n v="9680"/>
    <x v="4"/>
    <s v="Gujarat"/>
  </r>
  <r>
    <s v="ORD00167"/>
    <s v="CUST00167"/>
    <s v="male"/>
    <n v="35"/>
    <s v="adult"/>
    <s v="2024-07-10"/>
    <s v="Jul"/>
    <s v="Cancelled"/>
    <x v="1"/>
    <s v="Shoes"/>
    <s v="XL"/>
    <n v="2"/>
    <s v="high"/>
    <n v="3210"/>
    <x v="7"/>
    <s v="Telangana"/>
  </r>
  <r>
    <s v="ORD00168"/>
    <s v="CUST00168"/>
    <s v="male"/>
    <n v="58"/>
    <s v="senior"/>
    <s v="2024-01-25"/>
    <s v="Jan"/>
    <s v="Delivered"/>
    <x v="1"/>
    <s v="Electronics"/>
    <s v="L"/>
    <n v="4"/>
    <s v="high"/>
    <n v="3300"/>
    <x v="0"/>
    <s v="Maharashtra"/>
  </r>
  <r>
    <s v="ORD00169"/>
    <s v="CUST00169"/>
    <s v="female"/>
    <n v="42"/>
    <s v="adult"/>
    <s v="2024-02-29"/>
    <s v="Feb"/>
    <s v="Returned"/>
    <x v="2"/>
    <s v="Accessories"/>
    <s v="M"/>
    <n v="1"/>
    <s v="low"/>
    <n v="1339"/>
    <x v="7"/>
    <s v="Telangana"/>
  </r>
  <r>
    <s v="ORD00170"/>
    <s v="CUST00170"/>
    <s v="male"/>
    <n v="22"/>
    <s v="teen"/>
    <s v="2024-11-12"/>
    <s v="Nov"/>
    <s v="Cancelled"/>
    <x v="2"/>
    <s v="Shoes"/>
    <s v="S"/>
    <n v="1"/>
    <s v="low"/>
    <n v="2273"/>
    <x v="4"/>
    <s v="Gujarat"/>
  </r>
  <r>
    <s v="ORD00171"/>
    <s v="CUST00171"/>
    <s v="female"/>
    <n v="44"/>
    <s v="adult"/>
    <s v="2024-02-27"/>
    <s v="Feb"/>
    <s v="Returned"/>
    <x v="1"/>
    <s v="Clothing"/>
    <s v="XL"/>
    <n v="2"/>
    <s v="high"/>
    <n v="3106"/>
    <x v="6"/>
    <s v="Tamil Nadu"/>
  </r>
  <r>
    <s v="ORD00172"/>
    <s v="CUST00172"/>
    <s v="female"/>
    <n v="59"/>
    <s v="senior"/>
    <s v="2024-03-26"/>
    <s v="Mar"/>
    <s v="Delivered"/>
    <x v="2"/>
    <s v="Accessories"/>
    <s v="L"/>
    <n v="2"/>
    <s v="low"/>
    <n v="1102"/>
    <x v="3"/>
    <s v="Maharashtra"/>
  </r>
  <r>
    <s v="ORD00173"/>
    <s v="CUST00173"/>
    <s v="female"/>
    <n v="46"/>
    <s v="senior"/>
    <s v="2024-01-24"/>
    <s v="Jan"/>
    <s v="Cancelled"/>
    <x v="0"/>
    <s v="Accessories"/>
    <s v="M"/>
    <n v="5"/>
    <s v="high"/>
    <n v="5555"/>
    <x v="2"/>
    <s v="Delhi"/>
  </r>
  <r>
    <s v="ORD00174"/>
    <s v="CUST00174"/>
    <s v="male"/>
    <n v="55"/>
    <s v="senior"/>
    <s v="2024-08-14"/>
    <s v="Aug"/>
    <s v="Cancelled"/>
    <x v="1"/>
    <s v="Clothing"/>
    <s v="S"/>
    <n v="4"/>
    <s v="high"/>
    <n v="11756"/>
    <x v="7"/>
    <s v="Telangana"/>
  </r>
  <r>
    <s v="ORD00175"/>
    <s v="CUST00175"/>
    <s v="female"/>
    <n v="45"/>
    <s v="adult"/>
    <s v="2024-08-09"/>
    <s v="Aug"/>
    <s v="Delivered"/>
    <x v="1"/>
    <s v="Electronics"/>
    <s v="XL"/>
    <n v="5"/>
    <s v="high"/>
    <n v="4875"/>
    <x v="3"/>
    <s v="Maharashtra"/>
  </r>
  <r>
    <s v="ORD00176"/>
    <s v="CUST00176"/>
    <s v="male"/>
    <n v="55"/>
    <s v="senior"/>
    <s v="2024-05-17"/>
    <s v="May"/>
    <s v="Returned"/>
    <x v="0"/>
    <s v="Shoes"/>
    <s v="S"/>
    <n v="3"/>
    <s v="low"/>
    <n v="2727"/>
    <x v="3"/>
    <s v="Maharashtra"/>
  </r>
  <r>
    <s v="ORD00177"/>
    <s v="CUST00177"/>
    <s v="male"/>
    <n v="56"/>
    <s v="senior"/>
    <s v="2024-05-12"/>
    <s v="May"/>
    <s v="Cancelled"/>
    <x v="2"/>
    <s v="Clothing"/>
    <s v="S"/>
    <n v="3"/>
    <s v="high"/>
    <n v="4035"/>
    <x v="1"/>
    <s v="Maharashtra"/>
  </r>
  <r>
    <s v="ORD00178"/>
    <s v="CUST00178"/>
    <s v="male"/>
    <n v="59"/>
    <s v="senior"/>
    <s v="2024-10-15"/>
    <s v="Oct"/>
    <s v="Cancelled"/>
    <x v="2"/>
    <s v="Shoes"/>
    <s v="XL"/>
    <n v="2"/>
    <s v="high"/>
    <n v="4232"/>
    <x v="7"/>
    <s v="Telangana"/>
  </r>
  <r>
    <s v="ORD00179"/>
    <s v="CUST00179"/>
    <s v="male"/>
    <n v="40"/>
    <s v="adult"/>
    <s v="2024-08-06"/>
    <s v="Aug"/>
    <s v="Cancelled"/>
    <x v="2"/>
    <s v="Shoes"/>
    <s v="M"/>
    <n v="1"/>
    <s v="low"/>
    <n v="2603"/>
    <x v="6"/>
    <s v="Tamil Nadu"/>
  </r>
  <r>
    <s v="ORD00180"/>
    <s v="CUST00180"/>
    <s v="female"/>
    <n v="50"/>
    <s v="senior"/>
    <s v="2024-12-29"/>
    <s v="Dec"/>
    <s v="Returned"/>
    <x v="2"/>
    <s v="Clothing"/>
    <s v="S"/>
    <n v="2"/>
    <s v="high"/>
    <n v="4822"/>
    <x v="3"/>
    <s v="Maharashtra"/>
  </r>
  <r>
    <s v="ORD00181"/>
    <s v="CUST00181"/>
    <s v="male"/>
    <n v="53"/>
    <s v="senior"/>
    <s v="2024-09-02"/>
    <s v="Sep"/>
    <s v="Delivered"/>
    <x v="1"/>
    <s v="Clothing"/>
    <s v="L"/>
    <n v="1"/>
    <s v="low"/>
    <n v="1801"/>
    <x v="6"/>
    <s v="Tamil Nadu"/>
  </r>
  <r>
    <s v="ORD00182"/>
    <s v="CUST00182"/>
    <s v="male"/>
    <n v="41"/>
    <s v="adult"/>
    <s v="2024-12-14"/>
    <s v="Dec"/>
    <s v="Returned"/>
    <x v="0"/>
    <s v="Accessories"/>
    <s v="L"/>
    <n v="3"/>
    <s v="low"/>
    <n v="2460"/>
    <x v="7"/>
    <s v="Telangana"/>
  </r>
  <r>
    <s v="ORD00183"/>
    <s v="CUST00183"/>
    <s v="male"/>
    <n v="42"/>
    <s v="adult"/>
    <s v="2024-11-29"/>
    <s v="Nov"/>
    <s v="Returned"/>
    <x v="0"/>
    <s v="Electronics"/>
    <s v="L"/>
    <n v="3"/>
    <s v="low"/>
    <n v="1683"/>
    <x v="3"/>
    <s v="Maharashtra"/>
  </r>
  <r>
    <s v="ORD00184"/>
    <s v="CUST00184"/>
    <s v="female"/>
    <n v="22"/>
    <s v="teen"/>
    <s v="2024-08-26"/>
    <s v="Aug"/>
    <s v="Returned"/>
    <x v="2"/>
    <s v="Clothing"/>
    <s v="M"/>
    <n v="3"/>
    <s v="high"/>
    <n v="6315"/>
    <x v="2"/>
    <s v="Delhi"/>
  </r>
  <r>
    <s v="ORD00185"/>
    <s v="CUST00185"/>
    <s v="female"/>
    <n v="56"/>
    <s v="senior"/>
    <s v="2024-07-29"/>
    <s v="Jul"/>
    <s v="Returned"/>
    <x v="0"/>
    <s v="Shoes"/>
    <s v="M"/>
    <n v="5"/>
    <s v="high"/>
    <n v="14480"/>
    <x v="5"/>
    <s v="Karnataka"/>
  </r>
  <r>
    <s v="ORD00186"/>
    <s v="CUST00186"/>
    <s v="male"/>
    <n v="43"/>
    <s v="adult"/>
    <s v="2024-12-02"/>
    <s v="Dec"/>
    <s v="Delivered"/>
    <x v="1"/>
    <s v="Shoes"/>
    <s v="XL"/>
    <n v="5"/>
    <s v="high"/>
    <n v="7345"/>
    <x v="7"/>
    <s v="Telangana"/>
  </r>
  <r>
    <s v="ORD00187"/>
    <s v="CUST00187"/>
    <s v="male"/>
    <n v="43"/>
    <s v="adult"/>
    <s v="2024-11-03"/>
    <s v="Nov"/>
    <s v="Returned"/>
    <x v="1"/>
    <s v="Shoes"/>
    <s v="L"/>
    <n v="5"/>
    <s v="high"/>
    <n v="11865"/>
    <x v="4"/>
    <s v="Gujarat"/>
  </r>
  <r>
    <s v="ORD00188"/>
    <s v="CUST00188"/>
    <s v="male"/>
    <n v="53"/>
    <s v="senior"/>
    <s v="2024-06-09"/>
    <s v="Jun"/>
    <s v="Cancelled"/>
    <x v="2"/>
    <s v="Shoes"/>
    <s v="L"/>
    <n v="2"/>
    <s v="high"/>
    <n v="4810"/>
    <x v="1"/>
    <s v="Maharashtra"/>
  </r>
  <r>
    <s v="ORD00189"/>
    <s v="CUST00189"/>
    <s v="female"/>
    <n v="52"/>
    <s v="senior"/>
    <s v="2024-11-09"/>
    <s v="Nov"/>
    <s v="Returned"/>
    <x v="2"/>
    <s v="Shoes"/>
    <s v="L"/>
    <n v="1"/>
    <s v="low"/>
    <n v="1222"/>
    <x v="6"/>
    <s v="Tamil Nadu"/>
  </r>
  <r>
    <s v="ORD00190"/>
    <s v="CUST00190"/>
    <s v="female"/>
    <n v="48"/>
    <s v="senior"/>
    <s v="2024-11-05"/>
    <s v="Nov"/>
    <s v="Cancelled"/>
    <x v="2"/>
    <s v="Accessories"/>
    <s v="S"/>
    <n v="2"/>
    <s v="high"/>
    <n v="5714"/>
    <x v="7"/>
    <s v="Telangana"/>
  </r>
  <r>
    <s v="ORD00191"/>
    <s v="CUST00191"/>
    <s v="male"/>
    <n v="45"/>
    <s v="adult"/>
    <s v="2024-04-16"/>
    <s v="Apr"/>
    <s v="Returned"/>
    <x v="0"/>
    <s v="Shoes"/>
    <s v="S"/>
    <n v="3"/>
    <s v="low"/>
    <n v="2499"/>
    <x v="6"/>
    <s v="Tamil Nadu"/>
  </r>
  <r>
    <s v="ORD00192"/>
    <s v="CUST00192"/>
    <s v="female"/>
    <n v="31"/>
    <s v="adult"/>
    <s v="2024-03-16"/>
    <s v="Mar"/>
    <s v="Returned"/>
    <x v="2"/>
    <s v="Clothing"/>
    <s v="L"/>
    <n v="5"/>
    <s v="high"/>
    <n v="8010"/>
    <x v="1"/>
    <s v="Maharashtra"/>
  </r>
  <r>
    <s v="ORD00193"/>
    <s v="CUST00193"/>
    <s v="male"/>
    <n v="59"/>
    <s v="senior"/>
    <s v="2024-09-23"/>
    <s v="Sep"/>
    <s v="Returned"/>
    <x v="2"/>
    <s v="Shoes"/>
    <s v="XL"/>
    <n v="4"/>
    <s v="high"/>
    <n v="5580"/>
    <x v="1"/>
    <s v="Maharashtra"/>
  </r>
  <r>
    <s v="ORD00194"/>
    <s v="CUST00194"/>
    <s v="female"/>
    <n v="55"/>
    <s v="senior"/>
    <s v="2024-10-21"/>
    <s v="Oct"/>
    <s v="Returned"/>
    <x v="2"/>
    <s v="Accessories"/>
    <s v="XL"/>
    <n v="5"/>
    <s v="high"/>
    <n v="8855"/>
    <x v="7"/>
    <s v="Telangana"/>
  </r>
  <r>
    <s v="ORD00195"/>
    <s v="CUST00195"/>
    <s v="male"/>
    <n v="47"/>
    <s v="senior"/>
    <s v="2024-05-08"/>
    <s v="May"/>
    <s v="Delivered"/>
    <x v="1"/>
    <s v="Accessories"/>
    <s v="M"/>
    <n v="3"/>
    <s v="high"/>
    <n v="5748"/>
    <x v="2"/>
    <s v="Delhi"/>
  </r>
  <r>
    <s v="ORD00196"/>
    <s v="CUST00196"/>
    <s v="male"/>
    <n v="42"/>
    <s v="adult"/>
    <s v="2024-07-18"/>
    <s v="Jul"/>
    <s v="Cancelled"/>
    <x v="1"/>
    <s v="Shoes"/>
    <s v="M"/>
    <n v="3"/>
    <s v="high"/>
    <n v="5889"/>
    <x v="6"/>
    <s v="Tamil Nadu"/>
  </r>
  <r>
    <s v="ORD00197"/>
    <s v="CUST00197"/>
    <s v="male"/>
    <n v="46"/>
    <s v="senior"/>
    <s v="2024-04-22"/>
    <s v="Apr"/>
    <s v="Delivered"/>
    <x v="2"/>
    <s v="Clothing"/>
    <s v="L"/>
    <n v="5"/>
    <s v="high"/>
    <n v="9655"/>
    <x v="7"/>
    <s v="Telangana"/>
  </r>
  <r>
    <s v="ORD00198"/>
    <s v="CUST00198"/>
    <s v="female"/>
    <n v="51"/>
    <s v="senior"/>
    <s v="2024-07-27"/>
    <s v="Jul"/>
    <s v="Cancelled"/>
    <x v="0"/>
    <s v="Shoes"/>
    <s v="M"/>
    <n v="5"/>
    <s v="high"/>
    <n v="6965"/>
    <x v="1"/>
    <s v="Maharashtra"/>
  </r>
  <r>
    <s v="ORD00199"/>
    <s v="CUST00199"/>
    <s v="female"/>
    <n v="46"/>
    <s v="senior"/>
    <s v="2024-02-01"/>
    <s v="Feb"/>
    <s v="Delivered"/>
    <x v="2"/>
    <s v="Shoes"/>
    <s v="S"/>
    <n v="2"/>
    <s v="high"/>
    <n v="5786"/>
    <x v="3"/>
    <s v="Maharashtra"/>
  </r>
  <r>
    <s v="ORD00200"/>
    <s v="CUST00200"/>
    <s v="male"/>
    <n v="41"/>
    <s v="adult"/>
    <s v="2024-09-02"/>
    <s v="Sep"/>
    <s v="Returned"/>
    <x v="1"/>
    <s v="Accessories"/>
    <s v="S"/>
    <n v="1"/>
    <s v="low"/>
    <n v="1733"/>
    <x v="6"/>
    <s v="Tamil Nadu"/>
  </r>
  <r>
    <s v="ORD00201"/>
    <s v="CUST00201"/>
    <s v="male"/>
    <n v="27"/>
    <s v="adult"/>
    <s v="2024-02-06"/>
    <s v="Feb"/>
    <s v="Delivered"/>
    <x v="1"/>
    <s v="Shoes"/>
    <s v="XL"/>
    <n v="1"/>
    <s v="low"/>
    <n v="2624"/>
    <x v="7"/>
    <s v="Telangana"/>
  </r>
  <r>
    <s v="ORD00202"/>
    <s v="CUST00202"/>
    <s v="male"/>
    <n v="35"/>
    <s v="adult"/>
    <s v="2024-06-10"/>
    <s v="Jun"/>
    <s v="Delivered"/>
    <x v="0"/>
    <s v="Electronics"/>
    <s v="S"/>
    <n v="3"/>
    <s v="high"/>
    <n v="6669"/>
    <x v="6"/>
    <s v="Tamil Nadu"/>
  </r>
  <r>
    <s v="ORD00203"/>
    <s v="CUST00203"/>
    <s v="female"/>
    <n v="39"/>
    <s v="adult"/>
    <s v="2024-07-13"/>
    <s v="Jul"/>
    <s v="Cancelled"/>
    <x v="0"/>
    <s v="Electronics"/>
    <s v="S"/>
    <n v="4"/>
    <s v="high"/>
    <n v="4468"/>
    <x v="4"/>
    <s v="Gujarat"/>
  </r>
  <r>
    <s v="ORD00204"/>
    <s v="CUST00204"/>
    <s v="female"/>
    <n v="29"/>
    <s v="adult"/>
    <s v="2024-09-26"/>
    <s v="Sep"/>
    <s v="Returned"/>
    <x v="2"/>
    <s v="Clothing"/>
    <s v="M"/>
    <n v="2"/>
    <s v="low"/>
    <n v="1170"/>
    <x v="2"/>
    <s v="Delhi"/>
  </r>
  <r>
    <s v="ORD00205"/>
    <s v="CUST00205"/>
    <s v="male"/>
    <n v="21"/>
    <s v="teen"/>
    <s v="2024-07-08"/>
    <s v="Jul"/>
    <s v="Delivered"/>
    <x v="0"/>
    <s v="Shoes"/>
    <s v="L"/>
    <n v="4"/>
    <s v="high"/>
    <n v="4356"/>
    <x v="1"/>
    <s v="Maharashtra"/>
  </r>
  <r>
    <s v="ORD00206"/>
    <s v="CUST00206"/>
    <s v="female"/>
    <n v="24"/>
    <s v="teen"/>
    <s v="2024-09-13"/>
    <s v="Sep"/>
    <s v="Delivered"/>
    <x v="0"/>
    <s v="Clothing"/>
    <s v="L"/>
    <n v="1"/>
    <s v="low"/>
    <n v="2274"/>
    <x v="2"/>
    <s v="Delhi"/>
  </r>
  <r>
    <s v="ORD00207"/>
    <s v="CUST00207"/>
    <s v="female"/>
    <n v="28"/>
    <s v="adult"/>
    <s v="2024-11-26"/>
    <s v="Nov"/>
    <s v="Cancelled"/>
    <x v="0"/>
    <s v="Electronics"/>
    <s v="L"/>
    <n v="5"/>
    <s v="high"/>
    <n v="10685"/>
    <x v="3"/>
    <s v="Maharashtra"/>
  </r>
  <r>
    <s v="ORD00208"/>
    <s v="CUST00208"/>
    <s v="female"/>
    <n v="45"/>
    <s v="adult"/>
    <s v="2024-09-30"/>
    <s v="Sep"/>
    <s v="Delivered"/>
    <x v="1"/>
    <s v="Shoes"/>
    <s v="S"/>
    <n v="1"/>
    <s v="low"/>
    <n v="1785"/>
    <x v="5"/>
    <s v="Karnataka"/>
  </r>
  <r>
    <s v="ORD00209"/>
    <s v="CUST00209"/>
    <s v="female"/>
    <n v="29"/>
    <s v="adult"/>
    <s v="2024-04-11"/>
    <s v="Apr"/>
    <s v="Returned"/>
    <x v="0"/>
    <s v="Electronics"/>
    <s v="M"/>
    <n v="2"/>
    <s v="high"/>
    <n v="5790"/>
    <x v="2"/>
    <s v="Delhi"/>
  </r>
  <r>
    <s v="ORD00210"/>
    <s v="CUST00210"/>
    <s v="female"/>
    <n v="45"/>
    <s v="adult"/>
    <s v="2024-06-04"/>
    <s v="Jun"/>
    <s v="Cancelled"/>
    <x v="2"/>
    <s v="Shoes"/>
    <s v="XL"/>
    <n v="3"/>
    <s v="low"/>
    <n v="1524"/>
    <x v="2"/>
    <s v="Delhi"/>
  </r>
  <r>
    <s v="ORD00211"/>
    <s v="CUST00211"/>
    <s v="female"/>
    <n v="33"/>
    <s v="adult"/>
    <s v="2024-08-23"/>
    <s v="Aug"/>
    <s v="Returned"/>
    <x v="2"/>
    <s v="Accessories"/>
    <s v="M"/>
    <n v="3"/>
    <s v="high"/>
    <n v="5550"/>
    <x v="7"/>
    <s v="Telangana"/>
  </r>
  <r>
    <s v="ORD00212"/>
    <s v="CUST00212"/>
    <s v="male"/>
    <n v="24"/>
    <s v="teen"/>
    <s v="2024-01-03"/>
    <s v="Jan"/>
    <s v="Cancelled"/>
    <x v="1"/>
    <s v="Accessories"/>
    <s v="XL"/>
    <n v="2"/>
    <s v="high"/>
    <n v="4444"/>
    <x v="7"/>
    <s v="Telangana"/>
  </r>
  <r>
    <s v="ORD00213"/>
    <s v="CUST00213"/>
    <s v="female"/>
    <n v="48"/>
    <s v="senior"/>
    <s v="2024-04-27"/>
    <s v="Apr"/>
    <s v="Cancelled"/>
    <x v="1"/>
    <s v="Shoes"/>
    <s v="M"/>
    <n v="1"/>
    <s v="low"/>
    <n v="2005"/>
    <x v="3"/>
    <s v="Maharashtra"/>
  </r>
  <r>
    <s v="ORD00214"/>
    <s v="CUST00214"/>
    <s v="male"/>
    <n v="22"/>
    <s v="teen"/>
    <s v="2024-11-25"/>
    <s v="Nov"/>
    <s v="Cancelled"/>
    <x v="2"/>
    <s v="Electronics"/>
    <s v="L"/>
    <n v="5"/>
    <s v="high"/>
    <n v="11710"/>
    <x v="0"/>
    <s v="Maharashtra"/>
  </r>
  <r>
    <s v="ORD00215"/>
    <s v="CUST00215"/>
    <s v="female"/>
    <n v="38"/>
    <s v="adult"/>
    <s v="2024-10-07"/>
    <s v="Oct"/>
    <s v="Delivered"/>
    <x v="0"/>
    <s v="Shoes"/>
    <s v="S"/>
    <n v="1"/>
    <s v="low"/>
    <n v="1524"/>
    <x v="4"/>
    <s v="Gujarat"/>
  </r>
  <r>
    <s v="ORD00216"/>
    <s v="CUST00216"/>
    <s v="male"/>
    <n v="34"/>
    <s v="adult"/>
    <s v="2024-08-09"/>
    <s v="Aug"/>
    <s v="Cancelled"/>
    <x v="1"/>
    <s v="Clothing"/>
    <s v="M"/>
    <n v="3"/>
    <s v="low"/>
    <n v="1509"/>
    <x v="5"/>
    <s v="Karnataka"/>
  </r>
  <r>
    <s v="ORD00217"/>
    <s v="CUST00217"/>
    <s v="male"/>
    <n v="23"/>
    <s v="teen"/>
    <s v="2024-04-02"/>
    <s v="Apr"/>
    <s v="Cancelled"/>
    <x v="0"/>
    <s v="Shoes"/>
    <s v="L"/>
    <n v="1"/>
    <s v="low"/>
    <n v="1212"/>
    <x v="0"/>
    <s v="Maharashtra"/>
  </r>
  <r>
    <s v="ORD00218"/>
    <s v="CUST00218"/>
    <s v="female"/>
    <n v="42"/>
    <s v="adult"/>
    <s v="2024-01-03"/>
    <s v="Jan"/>
    <s v="Delivered"/>
    <x v="1"/>
    <s v="Electronics"/>
    <s v="XL"/>
    <n v="5"/>
    <s v="high"/>
    <n v="4810"/>
    <x v="3"/>
    <s v="Maharashtra"/>
  </r>
  <r>
    <s v="ORD00219"/>
    <s v="CUST00219"/>
    <s v="female"/>
    <n v="37"/>
    <s v="adult"/>
    <s v="2024-08-18"/>
    <s v="Aug"/>
    <s v="Cancelled"/>
    <x v="1"/>
    <s v="Shoes"/>
    <s v="M"/>
    <n v="5"/>
    <s v="high"/>
    <n v="12020"/>
    <x v="0"/>
    <s v="Maharashtra"/>
  </r>
  <r>
    <s v="ORD00220"/>
    <s v="CUST00220"/>
    <s v="male"/>
    <n v="54"/>
    <s v="senior"/>
    <s v="2024-05-08"/>
    <s v="May"/>
    <s v="Cancelled"/>
    <x v="1"/>
    <s v="Accessories"/>
    <s v="L"/>
    <n v="3"/>
    <s v="high"/>
    <n v="3228"/>
    <x v="4"/>
    <s v="Gujarat"/>
  </r>
  <r>
    <s v="ORD00221"/>
    <s v="CUST00221"/>
    <s v="female"/>
    <n v="20"/>
    <s v="teen"/>
    <s v="2024-04-09"/>
    <s v="Apr"/>
    <s v="Delivered"/>
    <x v="2"/>
    <s v="Electronics"/>
    <s v="XL"/>
    <n v="1"/>
    <s v="low"/>
    <n v="2998"/>
    <x v="7"/>
    <s v="Telangana"/>
  </r>
  <r>
    <s v="ORD00222"/>
    <s v="CUST00222"/>
    <s v="female"/>
    <n v="37"/>
    <s v="adult"/>
    <s v="2024-04-30"/>
    <s v="Apr"/>
    <s v="Returned"/>
    <x v="1"/>
    <s v="Clothing"/>
    <s v="S"/>
    <n v="2"/>
    <s v="low"/>
    <n v="1948"/>
    <x v="2"/>
    <s v="Delhi"/>
  </r>
  <r>
    <s v="ORD00223"/>
    <s v="CUST00223"/>
    <s v="female"/>
    <n v="27"/>
    <s v="adult"/>
    <s v="2024-06-21"/>
    <s v="Jun"/>
    <s v="Cancelled"/>
    <x v="0"/>
    <s v="Clothing"/>
    <s v="L"/>
    <n v="2"/>
    <s v="low"/>
    <n v="2792"/>
    <x v="7"/>
    <s v="Telangana"/>
  </r>
  <r>
    <s v="ORD00224"/>
    <s v="CUST00224"/>
    <s v="female"/>
    <n v="22"/>
    <s v="teen"/>
    <s v="2024-09-16"/>
    <s v="Sep"/>
    <s v="Cancelled"/>
    <x v="1"/>
    <s v="Clothing"/>
    <s v="M"/>
    <n v="1"/>
    <s v="low"/>
    <n v="1255"/>
    <x v="5"/>
    <s v="Karnataka"/>
  </r>
  <r>
    <s v="ORD00225"/>
    <s v="CUST00225"/>
    <s v="male"/>
    <n v="54"/>
    <s v="senior"/>
    <s v="2024-11-30"/>
    <s v="Nov"/>
    <s v="Returned"/>
    <x v="2"/>
    <s v="Electronics"/>
    <s v="M"/>
    <n v="4"/>
    <s v="high"/>
    <n v="7372"/>
    <x v="1"/>
    <s v="Maharashtra"/>
  </r>
  <r>
    <s v="ORD00226"/>
    <s v="CUST00226"/>
    <s v="female"/>
    <n v="57"/>
    <s v="senior"/>
    <s v="2024-05-09"/>
    <s v="May"/>
    <s v="Delivered"/>
    <x v="1"/>
    <s v="Electronics"/>
    <s v="XL"/>
    <n v="3"/>
    <s v="high"/>
    <n v="6774"/>
    <x v="7"/>
    <s v="Telangana"/>
  </r>
  <r>
    <s v="ORD00227"/>
    <s v="CUST00227"/>
    <s v="female"/>
    <n v="43"/>
    <s v="adult"/>
    <s v="2024-10-27"/>
    <s v="Oct"/>
    <s v="Delivered"/>
    <x v="1"/>
    <s v="Clothing"/>
    <s v="XL"/>
    <n v="5"/>
    <s v="high"/>
    <n v="5880"/>
    <x v="6"/>
    <s v="Tamil Nadu"/>
  </r>
  <r>
    <s v="ORD00228"/>
    <s v="CUST00228"/>
    <s v="female"/>
    <n v="25"/>
    <s v="adult"/>
    <s v="2024-01-26"/>
    <s v="Jan"/>
    <s v="Cancelled"/>
    <x v="2"/>
    <s v="Clothing"/>
    <s v="L"/>
    <n v="4"/>
    <s v="high"/>
    <n v="10076"/>
    <x v="2"/>
    <s v="Delhi"/>
  </r>
  <r>
    <s v="ORD00229"/>
    <s v="CUST00229"/>
    <s v="male"/>
    <n v="52"/>
    <s v="senior"/>
    <s v="2024-11-19"/>
    <s v="Nov"/>
    <s v="Cancelled"/>
    <x v="0"/>
    <s v="Electronics"/>
    <s v="M"/>
    <n v="2"/>
    <s v="low"/>
    <n v="2346"/>
    <x v="1"/>
    <s v="Maharashtra"/>
  </r>
  <r>
    <s v="ORD00230"/>
    <s v="CUST00230"/>
    <s v="male"/>
    <n v="41"/>
    <s v="adult"/>
    <s v="2024-07-17"/>
    <s v="Jul"/>
    <s v="Cancelled"/>
    <x v="1"/>
    <s v="Electronics"/>
    <s v="M"/>
    <n v="1"/>
    <s v="low"/>
    <n v="1452"/>
    <x v="3"/>
    <s v="Maharashtra"/>
  </r>
  <r>
    <s v="ORD00231"/>
    <s v="CUST00231"/>
    <s v="male"/>
    <n v="45"/>
    <s v="adult"/>
    <s v="2024-06-16"/>
    <s v="Jun"/>
    <s v="Cancelled"/>
    <x v="0"/>
    <s v="Shoes"/>
    <s v="XL"/>
    <n v="1"/>
    <s v="low"/>
    <n v="2002"/>
    <x v="4"/>
    <s v="Gujarat"/>
  </r>
  <r>
    <s v="ORD00232"/>
    <s v="CUST00232"/>
    <s v="male"/>
    <n v="52"/>
    <s v="senior"/>
    <s v="2024-02-08"/>
    <s v="Feb"/>
    <s v="Delivered"/>
    <x v="2"/>
    <s v="Clothing"/>
    <s v="L"/>
    <n v="4"/>
    <s v="high"/>
    <n v="11332"/>
    <x v="1"/>
    <s v="Maharashtra"/>
  </r>
  <r>
    <s v="ORD00233"/>
    <s v="CUST00233"/>
    <s v="female"/>
    <n v="45"/>
    <s v="adult"/>
    <s v="2024-08-12"/>
    <s v="Aug"/>
    <s v="Cancelled"/>
    <x v="1"/>
    <s v="Shoes"/>
    <s v="L"/>
    <n v="3"/>
    <s v="high"/>
    <n v="6021"/>
    <x v="1"/>
    <s v="Maharashtra"/>
  </r>
  <r>
    <s v="ORD00234"/>
    <s v="CUST00234"/>
    <s v="female"/>
    <n v="52"/>
    <s v="senior"/>
    <s v="2024-01-27"/>
    <s v="Jan"/>
    <s v="Cancelled"/>
    <x v="1"/>
    <s v="Accessories"/>
    <s v="L"/>
    <n v="3"/>
    <s v="high"/>
    <n v="8034"/>
    <x v="2"/>
    <s v="Delhi"/>
  </r>
  <r>
    <s v="ORD00235"/>
    <s v="CUST00235"/>
    <s v="male"/>
    <n v="40"/>
    <s v="adult"/>
    <s v="2024-10-18"/>
    <s v="Oct"/>
    <s v="Delivered"/>
    <x v="2"/>
    <s v="Clothing"/>
    <s v="L"/>
    <n v="3"/>
    <s v="high"/>
    <n v="6243"/>
    <x v="0"/>
    <s v="Maharashtra"/>
  </r>
  <r>
    <s v="ORD00236"/>
    <s v="CUST00236"/>
    <s v="female"/>
    <n v="46"/>
    <s v="senior"/>
    <s v="2024-04-09"/>
    <s v="Apr"/>
    <s v="Cancelled"/>
    <x v="1"/>
    <s v="Electronics"/>
    <s v="XL"/>
    <n v="4"/>
    <s v="high"/>
    <n v="6344"/>
    <x v="0"/>
    <s v="Maharashtra"/>
  </r>
  <r>
    <s v="ORD00237"/>
    <s v="CUST00237"/>
    <s v="male"/>
    <n v="50"/>
    <s v="senior"/>
    <s v="2024-08-15"/>
    <s v="Aug"/>
    <s v="Delivered"/>
    <x v="2"/>
    <s v="Electronics"/>
    <s v="M"/>
    <n v="3"/>
    <s v="high"/>
    <n v="6744"/>
    <x v="1"/>
    <s v="Maharashtra"/>
  </r>
  <r>
    <s v="ORD00238"/>
    <s v="CUST00238"/>
    <s v="male"/>
    <n v="21"/>
    <s v="teen"/>
    <s v="2024-02-22"/>
    <s v="Feb"/>
    <s v="Returned"/>
    <x v="0"/>
    <s v="Shoes"/>
    <s v="M"/>
    <n v="3"/>
    <s v="high"/>
    <n v="3423"/>
    <x v="4"/>
    <s v="Gujarat"/>
  </r>
  <r>
    <s v="ORD00239"/>
    <s v="CUST00239"/>
    <s v="female"/>
    <n v="54"/>
    <s v="senior"/>
    <s v="2024-10-20"/>
    <s v="Oct"/>
    <s v="Delivered"/>
    <x v="0"/>
    <s v="Shoes"/>
    <s v="XL"/>
    <n v="4"/>
    <s v="high"/>
    <n v="8024"/>
    <x v="1"/>
    <s v="Maharashtra"/>
  </r>
  <r>
    <s v="ORD00240"/>
    <s v="CUST00240"/>
    <s v="female"/>
    <n v="53"/>
    <s v="senior"/>
    <s v="2024-11-29"/>
    <s v="Nov"/>
    <s v="Cancelled"/>
    <x v="1"/>
    <s v="Shoes"/>
    <s v="XL"/>
    <n v="2"/>
    <s v="low"/>
    <n v="2054"/>
    <x v="7"/>
    <s v="Telangana"/>
  </r>
  <r>
    <s v="ORD00241"/>
    <s v="CUST00241"/>
    <s v="female"/>
    <n v="30"/>
    <s v="adult"/>
    <s v="2024-04-04"/>
    <s v="Apr"/>
    <s v="Returned"/>
    <x v="0"/>
    <s v="Electronics"/>
    <s v="S"/>
    <n v="2"/>
    <s v="high"/>
    <n v="3010"/>
    <x v="7"/>
    <s v="Telangana"/>
  </r>
  <r>
    <s v="ORD00242"/>
    <s v="CUST00242"/>
    <s v="male"/>
    <n v="22"/>
    <s v="teen"/>
    <s v="2024-02-26"/>
    <s v="Feb"/>
    <s v="Cancelled"/>
    <x v="1"/>
    <s v="Accessories"/>
    <s v="M"/>
    <n v="1"/>
    <s v="low"/>
    <n v="972"/>
    <x v="2"/>
    <s v="Delhi"/>
  </r>
  <r>
    <s v="ORD00243"/>
    <s v="CUST00243"/>
    <s v="female"/>
    <n v="34"/>
    <s v="adult"/>
    <s v="2024-08-04"/>
    <s v="Aug"/>
    <s v="Delivered"/>
    <x v="1"/>
    <s v="Clothing"/>
    <s v="L"/>
    <n v="4"/>
    <s v="high"/>
    <n v="8704"/>
    <x v="4"/>
    <s v="Gujarat"/>
  </r>
  <r>
    <s v="ORD00244"/>
    <s v="CUST00244"/>
    <s v="female"/>
    <n v="23"/>
    <s v="teen"/>
    <s v="2024-01-25"/>
    <s v="Jan"/>
    <s v="Cancelled"/>
    <x v="0"/>
    <s v="Clothing"/>
    <s v="XL"/>
    <n v="2"/>
    <s v="low"/>
    <n v="1660"/>
    <x v="1"/>
    <s v="Maharashtra"/>
  </r>
  <r>
    <s v="ORD00245"/>
    <s v="CUST00245"/>
    <s v="female"/>
    <n v="19"/>
    <s v="teen"/>
    <s v="2024-03-01"/>
    <s v="Mar"/>
    <s v="Cancelled"/>
    <x v="0"/>
    <s v="Clothing"/>
    <s v="L"/>
    <n v="3"/>
    <s v="high"/>
    <n v="8967"/>
    <x v="1"/>
    <s v="Maharashtra"/>
  </r>
  <r>
    <s v="ORD00246"/>
    <s v="CUST00246"/>
    <s v="male"/>
    <n v="30"/>
    <s v="adult"/>
    <s v="2024-03-04"/>
    <s v="Mar"/>
    <s v="Returned"/>
    <x v="2"/>
    <s v="Electronics"/>
    <s v="XL"/>
    <n v="2"/>
    <s v="high"/>
    <n v="4824"/>
    <x v="5"/>
    <s v="Karnataka"/>
  </r>
  <r>
    <s v="ORD00247"/>
    <s v="CUST00247"/>
    <s v="male"/>
    <n v="48"/>
    <s v="senior"/>
    <s v="2024-07-11"/>
    <s v="Jul"/>
    <s v="Cancelled"/>
    <x v="1"/>
    <s v="Accessories"/>
    <s v="L"/>
    <n v="2"/>
    <s v="high"/>
    <n v="4526"/>
    <x v="5"/>
    <s v="Karnataka"/>
  </r>
  <r>
    <s v="ORD00248"/>
    <s v="CUST00248"/>
    <s v="female"/>
    <n v="24"/>
    <s v="teen"/>
    <s v="2024-02-15"/>
    <s v="Feb"/>
    <s v="Returned"/>
    <x v="0"/>
    <s v="Clothing"/>
    <s v="XL"/>
    <n v="1"/>
    <s v="low"/>
    <n v="2078"/>
    <x v="1"/>
    <s v="Maharashtra"/>
  </r>
  <r>
    <s v="ORD00249"/>
    <s v="CUST00249"/>
    <s v="female"/>
    <n v="27"/>
    <s v="adult"/>
    <s v="2024-04-04"/>
    <s v="Apr"/>
    <s v="Cancelled"/>
    <x v="2"/>
    <s v="Clothing"/>
    <s v="XL"/>
    <n v="5"/>
    <s v="high"/>
    <n v="7145"/>
    <x v="0"/>
    <s v="Maharashtra"/>
  </r>
  <r>
    <s v="ORD00250"/>
    <s v="CUST00250"/>
    <s v="female"/>
    <n v="38"/>
    <s v="adult"/>
    <s v="2024-08-10"/>
    <s v="Aug"/>
    <s v="Delivered"/>
    <x v="0"/>
    <s v="Electronics"/>
    <s v="M"/>
    <n v="3"/>
    <s v="high"/>
    <n v="5868"/>
    <x v="1"/>
    <s v="Maharashtra"/>
  </r>
  <r>
    <s v="ORD00251"/>
    <s v="CUST00251"/>
    <s v="male"/>
    <n v="22"/>
    <s v="teen"/>
    <s v="2024-02-29"/>
    <s v="Feb"/>
    <s v="Cancelled"/>
    <x v="0"/>
    <s v="Electronics"/>
    <s v="L"/>
    <n v="5"/>
    <s v="high"/>
    <n v="13310"/>
    <x v="1"/>
    <s v="Maharashtra"/>
  </r>
  <r>
    <s v="ORD00252"/>
    <s v="CUST00252"/>
    <s v="male"/>
    <n v="50"/>
    <s v="senior"/>
    <s v="2024-03-19"/>
    <s v="Mar"/>
    <s v="Cancelled"/>
    <x v="1"/>
    <s v="Clothing"/>
    <s v="S"/>
    <n v="3"/>
    <s v="high"/>
    <n v="5205"/>
    <x v="3"/>
    <s v="Maharashtra"/>
  </r>
  <r>
    <s v="ORD00253"/>
    <s v="CUST00253"/>
    <s v="female"/>
    <n v="20"/>
    <s v="teen"/>
    <s v="2024-07-19"/>
    <s v="Jul"/>
    <s v="Returned"/>
    <x v="2"/>
    <s v="Clothing"/>
    <s v="M"/>
    <n v="5"/>
    <s v="high"/>
    <n v="6270"/>
    <x v="0"/>
    <s v="Maharashtra"/>
  </r>
  <r>
    <s v="ORD00254"/>
    <s v="CUST00254"/>
    <s v="female"/>
    <n v="20"/>
    <s v="teen"/>
    <s v="2024-12-26"/>
    <s v="Dec"/>
    <s v="Returned"/>
    <x v="2"/>
    <s v="Clothing"/>
    <s v="XL"/>
    <n v="4"/>
    <s v="high"/>
    <n v="9980"/>
    <x v="0"/>
    <s v="Maharashtra"/>
  </r>
  <r>
    <s v="ORD00255"/>
    <s v="CUST00255"/>
    <s v="male"/>
    <n v="52"/>
    <s v="senior"/>
    <s v="2024-08-10"/>
    <s v="Aug"/>
    <s v="Cancelled"/>
    <x v="0"/>
    <s v="Accessories"/>
    <s v="S"/>
    <n v="3"/>
    <s v="low"/>
    <n v="2376"/>
    <x v="4"/>
    <s v="Gujarat"/>
  </r>
  <r>
    <s v="ORD00256"/>
    <s v="CUST00256"/>
    <s v="male"/>
    <n v="23"/>
    <s v="teen"/>
    <s v="2024-07-27"/>
    <s v="Jul"/>
    <s v="Cancelled"/>
    <x v="1"/>
    <s v="Shoes"/>
    <s v="L"/>
    <n v="2"/>
    <s v="low"/>
    <n v="2972"/>
    <x v="1"/>
    <s v="Maharashtra"/>
  </r>
  <r>
    <s v="ORD00257"/>
    <s v="CUST00257"/>
    <s v="male"/>
    <n v="58"/>
    <s v="senior"/>
    <s v="2024-05-08"/>
    <s v="May"/>
    <s v="Cancelled"/>
    <x v="1"/>
    <s v="Clothing"/>
    <s v="L"/>
    <n v="5"/>
    <s v="high"/>
    <n v="7010"/>
    <x v="7"/>
    <s v="Telangana"/>
  </r>
  <r>
    <s v="ORD00258"/>
    <s v="CUST00258"/>
    <s v="male"/>
    <n v="55"/>
    <s v="senior"/>
    <s v="2024-02-05"/>
    <s v="Feb"/>
    <s v="Delivered"/>
    <x v="2"/>
    <s v="Electronics"/>
    <s v="L"/>
    <n v="5"/>
    <s v="high"/>
    <n v="14090"/>
    <x v="3"/>
    <s v="Maharashtra"/>
  </r>
  <r>
    <s v="ORD00259"/>
    <s v="CUST00259"/>
    <s v="male"/>
    <n v="51"/>
    <s v="senior"/>
    <s v="2024-09-15"/>
    <s v="Sep"/>
    <s v="Returned"/>
    <x v="1"/>
    <s v="Electronics"/>
    <s v="S"/>
    <n v="4"/>
    <s v="high"/>
    <n v="4564"/>
    <x v="0"/>
    <s v="Maharashtra"/>
  </r>
  <r>
    <s v="ORD00260"/>
    <s v="CUST00260"/>
    <s v="male"/>
    <n v="46"/>
    <s v="senior"/>
    <s v="2024-10-21"/>
    <s v="Oct"/>
    <s v="Delivered"/>
    <x v="2"/>
    <s v="Electronics"/>
    <s v="S"/>
    <n v="5"/>
    <s v="low"/>
    <n v="2555"/>
    <x v="6"/>
    <s v="Tamil Nadu"/>
  </r>
  <r>
    <s v="ORD00261"/>
    <s v="CUST00261"/>
    <s v="female"/>
    <n v="41"/>
    <s v="adult"/>
    <s v="2024-03-26"/>
    <s v="Mar"/>
    <s v="Returned"/>
    <x v="0"/>
    <s v="Shoes"/>
    <s v="XL"/>
    <n v="4"/>
    <s v="high"/>
    <n v="9672"/>
    <x v="3"/>
    <s v="Maharashtra"/>
  </r>
  <r>
    <s v="ORD00262"/>
    <s v="CUST00262"/>
    <s v="female"/>
    <n v="34"/>
    <s v="adult"/>
    <s v="2024-04-04"/>
    <s v="Apr"/>
    <s v="Delivered"/>
    <x v="0"/>
    <s v="Clothing"/>
    <s v="XL"/>
    <n v="2"/>
    <s v="low"/>
    <n v="1334"/>
    <x v="1"/>
    <s v="Maharashtra"/>
  </r>
  <r>
    <s v="ORD00263"/>
    <s v="CUST00263"/>
    <s v="female"/>
    <n v="46"/>
    <s v="senior"/>
    <s v="2024-05-10"/>
    <s v="May"/>
    <s v="Returned"/>
    <x v="2"/>
    <s v="Clothing"/>
    <s v="L"/>
    <n v="3"/>
    <s v="low"/>
    <n v="1515"/>
    <x v="6"/>
    <s v="Tamil Nadu"/>
  </r>
  <r>
    <s v="ORD00264"/>
    <s v="CUST00264"/>
    <s v="female"/>
    <n v="39"/>
    <s v="adult"/>
    <s v="2024-09-24"/>
    <s v="Sep"/>
    <s v="Delivered"/>
    <x v="2"/>
    <s v="Shoes"/>
    <s v="L"/>
    <n v="2"/>
    <s v="high"/>
    <n v="5042"/>
    <x v="6"/>
    <s v="Tamil Nadu"/>
  </r>
  <r>
    <s v="ORD00265"/>
    <s v="CUST00265"/>
    <s v="female"/>
    <n v="52"/>
    <s v="senior"/>
    <s v="2024-03-11"/>
    <s v="Mar"/>
    <s v="Cancelled"/>
    <x v="0"/>
    <s v="Clothing"/>
    <s v="L"/>
    <n v="3"/>
    <s v="high"/>
    <n v="7740"/>
    <x v="3"/>
    <s v="Maharashtra"/>
  </r>
  <r>
    <s v="ORD00266"/>
    <s v="CUST00266"/>
    <s v="male"/>
    <n v="55"/>
    <s v="senior"/>
    <s v="2024-09-12"/>
    <s v="Sep"/>
    <s v="Returned"/>
    <x v="2"/>
    <s v="Clothing"/>
    <s v="L"/>
    <n v="5"/>
    <s v="high"/>
    <n v="4075"/>
    <x v="4"/>
    <s v="Gujarat"/>
  </r>
  <r>
    <s v="ORD00267"/>
    <s v="CUST00267"/>
    <s v="male"/>
    <n v="45"/>
    <s v="adult"/>
    <s v="2024-12-24"/>
    <s v="Dec"/>
    <s v="Returned"/>
    <x v="2"/>
    <s v="Clothing"/>
    <s v="L"/>
    <n v="5"/>
    <s v="high"/>
    <n v="12220"/>
    <x v="5"/>
    <s v="Karnataka"/>
  </r>
  <r>
    <s v="ORD00268"/>
    <s v="CUST00268"/>
    <s v="female"/>
    <n v="43"/>
    <s v="adult"/>
    <s v="2024-08-22"/>
    <s v="Aug"/>
    <s v="Delivered"/>
    <x v="1"/>
    <s v="Shoes"/>
    <s v="S"/>
    <n v="1"/>
    <s v="low"/>
    <n v="1001"/>
    <x v="0"/>
    <s v="Maharashtra"/>
  </r>
  <r>
    <s v="ORD00269"/>
    <s v="CUST00269"/>
    <s v="female"/>
    <n v="39"/>
    <s v="adult"/>
    <s v="2024-10-29"/>
    <s v="Oct"/>
    <s v="Returned"/>
    <x v="1"/>
    <s v="Electronics"/>
    <s v="L"/>
    <n v="4"/>
    <s v="high"/>
    <n v="9512"/>
    <x v="5"/>
    <s v="Karnataka"/>
  </r>
  <r>
    <s v="ORD00270"/>
    <s v="CUST00270"/>
    <s v="female"/>
    <n v="19"/>
    <s v="teen"/>
    <s v="2024-08-07"/>
    <s v="Aug"/>
    <s v="Returned"/>
    <x v="2"/>
    <s v="Accessories"/>
    <s v="L"/>
    <n v="5"/>
    <s v="high"/>
    <n v="5040"/>
    <x v="5"/>
    <s v="Karnataka"/>
  </r>
  <r>
    <s v="ORD00271"/>
    <s v="CUST00271"/>
    <s v="female"/>
    <n v="28"/>
    <s v="adult"/>
    <s v="2024-01-08"/>
    <s v="Jan"/>
    <s v="Cancelled"/>
    <x v="2"/>
    <s v="Accessories"/>
    <s v="L"/>
    <n v="4"/>
    <s v="high"/>
    <n v="5968"/>
    <x v="1"/>
    <s v="Maharashtra"/>
  </r>
  <r>
    <s v="ORD00272"/>
    <s v="CUST00272"/>
    <s v="female"/>
    <n v="52"/>
    <s v="senior"/>
    <s v="2024-10-15"/>
    <s v="Oct"/>
    <s v="Returned"/>
    <x v="0"/>
    <s v="Shoes"/>
    <s v="L"/>
    <n v="3"/>
    <s v="high"/>
    <n v="6558"/>
    <x v="5"/>
    <s v="Karnataka"/>
  </r>
  <r>
    <s v="ORD00273"/>
    <s v="CUST00273"/>
    <s v="female"/>
    <n v="24"/>
    <s v="teen"/>
    <s v="2024-11-11"/>
    <s v="Nov"/>
    <s v="Cancelled"/>
    <x v="1"/>
    <s v="Clothing"/>
    <s v="M"/>
    <n v="4"/>
    <s v="high"/>
    <n v="3952"/>
    <x v="2"/>
    <s v="Delhi"/>
  </r>
  <r>
    <s v="ORD00274"/>
    <s v="CUST00274"/>
    <s v="female"/>
    <n v="31"/>
    <s v="adult"/>
    <s v="2024-11-18"/>
    <s v="Nov"/>
    <s v="Delivered"/>
    <x v="0"/>
    <s v="Electronics"/>
    <s v="S"/>
    <n v="3"/>
    <s v="high"/>
    <n v="7509"/>
    <x v="4"/>
    <s v="Gujarat"/>
  </r>
  <r>
    <s v="ORD00275"/>
    <s v="CUST00275"/>
    <s v="female"/>
    <n v="48"/>
    <s v="senior"/>
    <s v="2024-07-06"/>
    <s v="Jul"/>
    <s v="Cancelled"/>
    <x v="0"/>
    <s v="Shoes"/>
    <s v="S"/>
    <n v="3"/>
    <s v="high"/>
    <n v="4836"/>
    <x v="7"/>
    <s v="Telangana"/>
  </r>
  <r>
    <s v="ORD00276"/>
    <s v="CUST00276"/>
    <s v="male"/>
    <n v="21"/>
    <s v="teen"/>
    <s v="2024-11-13"/>
    <s v="Nov"/>
    <s v="Returned"/>
    <x v="1"/>
    <s v="Shoes"/>
    <s v="M"/>
    <n v="1"/>
    <s v="low"/>
    <n v="1834"/>
    <x v="2"/>
    <s v="Delhi"/>
  </r>
  <r>
    <s v="ORD00277"/>
    <s v="CUST00277"/>
    <s v="male"/>
    <n v="29"/>
    <s v="adult"/>
    <s v="2024-03-05"/>
    <s v="Mar"/>
    <s v="Cancelled"/>
    <x v="0"/>
    <s v="Shoes"/>
    <s v="M"/>
    <n v="3"/>
    <s v="low"/>
    <n v="2661"/>
    <x v="0"/>
    <s v="Maharashtra"/>
  </r>
  <r>
    <s v="ORD00278"/>
    <s v="CUST00278"/>
    <s v="female"/>
    <n v="45"/>
    <s v="adult"/>
    <s v="2024-11-14"/>
    <s v="Nov"/>
    <s v="Delivered"/>
    <x v="2"/>
    <s v="Electronics"/>
    <s v="M"/>
    <n v="4"/>
    <s v="high"/>
    <n v="8784"/>
    <x v="4"/>
    <s v="Gujarat"/>
  </r>
  <r>
    <s v="ORD00279"/>
    <s v="CUST00279"/>
    <s v="female"/>
    <n v="23"/>
    <s v="teen"/>
    <s v="2024-04-07"/>
    <s v="Apr"/>
    <s v="Cancelled"/>
    <x v="0"/>
    <s v="Accessories"/>
    <s v="S"/>
    <n v="2"/>
    <s v="low"/>
    <n v="2772"/>
    <x v="7"/>
    <s v="Telangana"/>
  </r>
  <r>
    <s v="ORD00280"/>
    <s v="CUST00280"/>
    <s v="male"/>
    <n v="21"/>
    <s v="teen"/>
    <s v="2024-10-11"/>
    <s v="Oct"/>
    <s v="Delivered"/>
    <x v="0"/>
    <s v="Electronics"/>
    <s v="XL"/>
    <n v="5"/>
    <s v="low"/>
    <n v="2560"/>
    <x v="4"/>
    <s v="Gujarat"/>
  </r>
  <r>
    <s v="ORD00281"/>
    <s v="CUST00281"/>
    <s v="female"/>
    <n v="51"/>
    <s v="senior"/>
    <s v="2024-12-18"/>
    <s v="Dec"/>
    <s v="Delivered"/>
    <x v="0"/>
    <s v="Accessories"/>
    <s v="XL"/>
    <n v="1"/>
    <s v="low"/>
    <n v="914"/>
    <x v="3"/>
    <s v="Maharashtra"/>
  </r>
  <r>
    <s v="ORD00282"/>
    <s v="CUST00282"/>
    <s v="male"/>
    <n v="28"/>
    <s v="adult"/>
    <s v="2024-09-17"/>
    <s v="Sep"/>
    <s v="Delivered"/>
    <x v="0"/>
    <s v="Shoes"/>
    <s v="S"/>
    <n v="5"/>
    <s v="low"/>
    <n v="2745"/>
    <x v="1"/>
    <s v="Maharashtra"/>
  </r>
  <r>
    <s v="ORD00283"/>
    <s v="CUST00283"/>
    <s v="male"/>
    <n v="39"/>
    <s v="adult"/>
    <s v="2024-12-30"/>
    <s v="Dec"/>
    <s v="Returned"/>
    <x v="0"/>
    <s v="Accessories"/>
    <s v="L"/>
    <n v="3"/>
    <s v="low"/>
    <n v="2919"/>
    <x v="1"/>
    <s v="Maharashtra"/>
  </r>
  <r>
    <s v="ORD00284"/>
    <s v="CUST00284"/>
    <s v="female"/>
    <n v="23"/>
    <s v="teen"/>
    <s v="2024-08-06"/>
    <s v="Aug"/>
    <s v="Cancelled"/>
    <x v="2"/>
    <s v="Shoes"/>
    <s v="M"/>
    <n v="2"/>
    <s v="high"/>
    <n v="4158"/>
    <x v="6"/>
    <s v="Tamil Nadu"/>
  </r>
  <r>
    <s v="ORD00285"/>
    <s v="CUST00285"/>
    <s v="male"/>
    <n v="46"/>
    <s v="senior"/>
    <s v="2024-05-13"/>
    <s v="May"/>
    <s v="Delivered"/>
    <x v="1"/>
    <s v="Clothing"/>
    <s v="XL"/>
    <n v="1"/>
    <s v="low"/>
    <n v="1384"/>
    <x v="3"/>
    <s v="Maharashtra"/>
  </r>
  <r>
    <s v="ORD00286"/>
    <s v="CUST00286"/>
    <s v="female"/>
    <n v="52"/>
    <s v="senior"/>
    <s v="2024-08-22"/>
    <s v="Aug"/>
    <s v="Delivered"/>
    <x v="1"/>
    <s v="Electronics"/>
    <s v="XL"/>
    <n v="1"/>
    <s v="low"/>
    <n v="2975"/>
    <x v="4"/>
    <s v="Gujarat"/>
  </r>
  <r>
    <s v="ORD00287"/>
    <s v="CUST00287"/>
    <s v="male"/>
    <n v="32"/>
    <s v="adult"/>
    <s v="2024-10-16"/>
    <s v="Oct"/>
    <s v="Cancelled"/>
    <x v="2"/>
    <s v="Accessories"/>
    <s v="M"/>
    <n v="2"/>
    <s v="low"/>
    <n v="2250"/>
    <x v="1"/>
    <s v="Maharashtra"/>
  </r>
  <r>
    <s v="ORD00288"/>
    <s v="CUST00288"/>
    <s v="male"/>
    <n v="27"/>
    <s v="adult"/>
    <s v="2024-10-15"/>
    <s v="Oct"/>
    <s v="Delivered"/>
    <x v="1"/>
    <s v="Shoes"/>
    <s v="XL"/>
    <n v="2"/>
    <s v="high"/>
    <n v="3132"/>
    <x v="3"/>
    <s v="Maharashtra"/>
  </r>
  <r>
    <s v="ORD00289"/>
    <s v="CUST00289"/>
    <s v="female"/>
    <n v="23"/>
    <s v="teen"/>
    <s v="2024-10-20"/>
    <s v="Oct"/>
    <s v="Returned"/>
    <x v="2"/>
    <s v="Accessories"/>
    <s v="XL"/>
    <n v="5"/>
    <s v="high"/>
    <n v="6000"/>
    <x v="6"/>
    <s v="Tamil Nadu"/>
  </r>
  <r>
    <s v="ORD00290"/>
    <s v="CUST00290"/>
    <s v="male"/>
    <n v="32"/>
    <s v="adult"/>
    <s v="2024-01-01"/>
    <s v="Jan"/>
    <s v="Returned"/>
    <x v="0"/>
    <s v="Clothing"/>
    <s v="M"/>
    <n v="1"/>
    <s v="low"/>
    <n v="827"/>
    <x v="3"/>
    <s v="Maharashtra"/>
  </r>
  <r>
    <s v="ORD00291"/>
    <s v="CUST00291"/>
    <s v="female"/>
    <n v="58"/>
    <s v="senior"/>
    <s v="2024-06-18"/>
    <s v="Jun"/>
    <s v="Returned"/>
    <x v="1"/>
    <s v="Shoes"/>
    <s v="M"/>
    <n v="3"/>
    <s v="high"/>
    <n v="8496"/>
    <x v="7"/>
    <s v="Telangana"/>
  </r>
  <r>
    <s v="ORD00292"/>
    <s v="CUST00292"/>
    <s v="male"/>
    <n v="52"/>
    <s v="senior"/>
    <s v="2024-05-26"/>
    <s v="May"/>
    <s v="Returned"/>
    <x v="2"/>
    <s v="Electronics"/>
    <s v="XL"/>
    <n v="3"/>
    <s v="high"/>
    <n v="8292"/>
    <x v="6"/>
    <s v="Tamil Nadu"/>
  </r>
  <r>
    <s v="ORD00293"/>
    <s v="CUST00293"/>
    <s v="female"/>
    <n v="51"/>
    <s v="senior"/>
    <s v="2024-03-24"/>
    <s v="Mar"/>
    <s v="Delivered"/>
    <x v="0"/>
    <s v="Shoes"/>
    <s v="XL"/>
    <n v="4"/>
    <s v="high"/>
    <n v="7984"/>
    <x v="3"/>
    <s v="Maharashtra"/>
  </r>
  <r>
    <s v="ORD00294"/>
    <s v="CUST00294"/>
    <s v="male"/>
    <n v="58"/>
    <s v="senior"/>
    <s v="2024-06-20"/>
    <s v="Jun"/>
    <s v="Cancelled"/>
    <x v="1"/>
    <s v="Electronics"/>
    <s v="L"/>
    <n v="4"/>
    <s v="high"/>
    <n v="6400"/>
    <x v="2"/>
    <s v="Delhi"/>
  </r>
  <r>
    <s v="ORD00295"/>
    <s v="CUST00295"/>
    <s v="male"/>
    <n v="26"/>
    <s v="adult"/>
    <s v="2024-12-07"/>
    <s v="Dec"/>
    <s v="Returned"/>
    <x v="1"/>
    <s v="Clothing"/>
    <s v="M"/>
    <n v="1"/>
    <s v="low"/>
    <n v="2552"/>
    <x v="7"/>
    <s v="Telangana"/>
  </r>
  <r>
    <s v="ORD00296"/>
    <s v="CUST00296"/>
    <s v="female"/>
    <n v="26"/>
    <s v="adult"/>
    <s v="2024-11-06"/>
    <s v="Nov"/>
    <s v="Returned"/>
    <x v="1"/>
    <s v="Clothing"/>
    <s v="S"/>
    <n v="5"/>
    <s v="high"/>
    <n v="12690"/>
    <x v="6"/>
    <s v="Tamil Nadu"/>
  </r>
  <r>
    <s v="ORD00297"/>
    <s v="CUST00297"/>
    <s v="male"/>
    <n v="46"/>
    <s v="senior"/>
    <s v="2024-07-03"/>
    <s v="Jul"/>
    <s v="Delivered"/>
    <x v="0"/>
    <s v="Electronics"/>
    <s v="L"/>
    <n v="3"/>
    <s v="high"/>
    <n v="5871"/>
    <x v="5"/>
    <s v="Karnataka"/>
  </r>
  <r>
    <s v="ORD00298"/>
    <s v="CUST00298"/>
    <s v="male"/>
    <n v="55"/>
    <s v="senior"/>
    <s v="2024-08-24"/>
    <s v="Aug"/>
    <s v="Cancelled"/>
    <x v="0"/>
    <s v="Accessories"/>
    <s v="M"/>
    <n v="2"/>
    <s v="high"/>
    <n v="4672"/>
    <x v="0"/>
    <s v="Maharashtra"/>
  </r>
  <r>
    <s v="ORD00299"/>
    <s v="CUST00299"/>
    <s v="female"/>
    <n v="18"/>
    <s v="teen"/>
    <s v="2024-06-21"/>
    <s v="Jun"/>
    <s v="Cancelled"/>
    <x v="0"/>
    <s v="Electronics"/>
    <s v="XL"/>
    <n v="2"/>
    <s v="high"/>
    <n v="5042"/>
    <x v="4"/>
    <s v="Gujarat"/>
  </r>
  <r>
    <s v="ORD00300"/>
    <s v="CUST00300"/>
    <s v="male"/>
    <n v="24"/>
    <s v="teen"/>
    <s v="2024-07-04"/>
    <s v="Jul"/>
    <s v="Delivered"/>
    <x v="0"/>
    <s v="Electronics"/>
    <s v="M"/>
    <n v="2"/>
    <s v="high"/>
    <n v="5348"/>
    <x v="6"/>
    <s v="Tamil Nadu"/>
  </r>
  <r>
    <s v="ORD00301"/>
    <s v="CUST00301"/>
    <s v="female"/>
    <n v="57"/>
    <s v="senior"/>
    <s v="2024-01-24"/>
    <s v="Jan"/>
    <s v="Returned"/>
    <x v="0"/>
    <s v="Electronics"/>
    <s v="XL"/>
    <n v="1"/>
    <s v="low"/>
    <n v="1893"/>
    <x v="5"/>
    <s v="Karnataka"/>
  </r>
  <r>
    <s v="ORD00302"/>
    <s v="CUST00302"/>
    <s v="male"/>
    <n v="27"/>
    <s v="adult"/>
    <s v="2024-10-25"/>
    <s v="Oct"/>
    <s v="Delivered"/>
    <x v="2"/>
    <s v="Electronics"/>
    <s v="L"/>
    <n v="3"/>
    <s v="high"/>
    <n v="4212"/>
    <x v="0"/>
    <s v="Maharashtra"/>
  </r>
  <r>
    <s v="ORD00303"/>
    <s v="CUST00303"/>
    <s v="female"/>
    <n v="27"/>
    <s v="adult"/>
    <s v="2024-02-12"/>
    <s v="Feb"/>
    <s v="Returned"/>
    <x v="1"/>
    <s v="Clothing"/>
    <s v="S"/>
    <n v="3"/>
    <s v="high"/>
    <n v="7320"/>
    <x v="1"/>
    <s v="Maharashtra"/>
  </r>
  <r>
    <s v="ORD00304"/>
    <s v="CUST00304"/>
    <s v="male"/>
    <n v="19"/>
    <s v="teen"/>
    <s v="2024-08-28"/>
    <s v="Aug"/>
    <s v="Delivered"/>
    <x v="1"/>
    <s v="Shoes"/>
    <s v="S"/>
    <n v="2"/>
    <s v="low"/>
    <n v="1988"/>
    <x v="5"/>
    <s v="Karnataka"/>
  </r>
  <r>
    <s v="ORD00305"/>
    <s v="CUST00305"/>
    <s v="female"/>
    <n v="34"/>
    <s v="adult"/>
    <s v="2024-11-27"/>
    <s v="Nov"/>
    <s v="Returned"/>
    <x v="1"/>
    <s v="Accessories"/>
    <s v="L"/>
    <n v="3"/>
    <s v="low"/>
    <n v="2493"/>
    <x v="2"/>
    <s v="Delhi"/>
  </r>
  <r>
    <s v="ORD00306"/>
    <s v="CUST00306"/>
    <s v="male"/>
    <n v="47"/>
    <s v="senior"/>
    <s v="2024-12-17"/>
    <s v="Dec"/>
    <s v="Delivered"/>
    <x v="1"/>
    <s v="Clothing"/>
    <s v="M"/>
    <n v="3"/>
    <s v="high"/>
    <n v="7185"/>
    <x v="7"/>
    <s v="Telangana"/>
  </r>
  <r>
    <s v="ORD00307"/>
    <s v="CUST00307"/>
    <s v="male"/>
    <n v="33"/>
    <s v="adult"/>
    <s v="2024-01-08"/>
    <s v="Jan"/>
    <s v="Delivered"/>
    <x v="0"/>
    <s v="Shoes"/>
    <s v="XL"/>
    <n v="4"/>
    <s v="high"/>
    <n v="5460"/>
    <x v="6"/>
    <s v="Tamil Nadu"/>
  </r>
  <r>
    <s v="ORD00308"/>
    <s v="CUST00308"/>
    <s v="male"/>
    <n v="45"/>
    <s v="adult"/>
    <s v="2024-05-28"/>
    <s v="May"/>
    <s v="Returned"/>
    <x v="2"/>
    <s v="Shoes"/>
    <s v="XL"/>
    <n v="3"/>
    <s v="high"/>
    <n v="6876"/>
    <x v="0"/>
    <s v="Maharashtra"/>
  </r>
  <r>
    <s v="ORD00309"/>
    <s v="CUST00309"/>
    <s v="male"/>
    <n v="21"/>
    <s v="teen"/>
    <s v="2024-11-05"/>
    <s v="Nov"/>
    <s v="Returned"/>
    <x v="0"/>
    <s v="Shoes"/>
    <s v="XL"/>
    <n v="3"/>
    <s v="low"/>
    <n v="1611"/>
    <x v="1"/>
    <s v="Maharashtra"/>
  </r>
  <r>
    <s v="ORD00310"/>
    <s v="CUST00310"/>
    <s v="female"/>
    <n v="38"/>
    <s v="adult"/>
    <s v="2024-05-02"/>
    <s v="May"/>
    <s v="Returned"/>
    <x v="2"/>
    <s v="Electronics"/>
    <s v="XL"/>
    <n v="2"/>
    <s v="low"/>
    <n v="2218"/>
    <x v="4"/>
    <s v="Gujarat"/>
  </r>
  <r>
    <s v="ORD00311"/>
    <s v="CUST00311"/>
    <s v="male"/>
    <n v="50"/>
    <s v="senior"/>
    <s v="2024-03-05"/>
    <s v="Mar"/>
    <s v="Returned"/>
    <x v="2"/>
    <s v="Accessories"/>
    <s v="M"/>
    <n v="4"/>
    <s v="high"/>
    <n v="7792"/>
    <x v="5"/>
    <s v="Karnataka"/>
  </r>
  <r>
    <s v="ORD00312"/>
    <s v="CUST00312"/>
    <s v="female"/>
    <n v="53"/>
    <s v="senior"/>
    <s v="2024-07-23"/>
    <s v="Jul"/>
    <s v="Delivered"/>
    <x v="2"/>
    <s v="Shoes"/>
    <s v="M"/>
    <n v="1"/>
    <s v="low"/>
    <n v="1397"/>
    <x v="0"/>
    <s v="Maharashtra"/>
  </r>
  <r>
    <s v="ORD00313"/>
    <s v="CUST00313"/>
    <s v="female"/>
    <n v="28"/>
    <s v="adult"/>
    <s v="2024-02-04"/>
    <s v="Feb"/>
    <s v="Delivered"/>
    <x v="2"/>
    <s v="Electronics"/>
    <s v="S"/>
    <n v="4"/>
    <s v="high"/>
    <n v="4740"/>
    <x v="2"/>
    <s v="Delhi"/>
  </r>
  <r>
    <s v="ORD00314"/>
    <s v="CUST00314"/>
    <s v="female"/>
    <n v="50"/>
    <s v="senior"/>
    <s v="2024-04-15"/>
    <s v="Apr"/>
    <s v="Cancelled"/>
    <x v="1"/>
    <s v="Shoes"/>
    <s v="L"/>
    <n v="1"/>
    <s v="low"/>
    <n v="2008"/>
    <x v="6"/>
    <s v="Tamil Nadu"/>
  </r>
  <r>
    <s v="ORD00315"/>
    <s v="CUST00315"/>
    <s v="male"/>
    <n v="33"/>
    <s v="adult"/>
    <s v="2024-08-30"/>
    <s v="Aug"/>
    <s v="Returned"/>
    <x v="0"/>
    <s v="Accessories"/>
    <s v="S"/>
    <n v="1"/>
    <s v="low"/>
    <n v="2331"/>
    <x v="7"/>
    <s v="Telangana"/>
  </r>
  <r>
    <s v="ORD00316"/>
    <s v="CUST00316"/>
    <s v="female"/>
    <n v="50"/>
    <s v="senior"/>
    <s v="2024-08-28"/>
    <s v="Aug"/>
    <s v="Delivered"/>
    <x v="0"/>
    <s v="Shoes"/>
    <s v="XL"/>
    <n v="2"/>
    <s v="high"/>
    <n v="5056"/>
    <x v="0"/>
    <s v="Maharashtra"/>
  </r>
  <r>
    <s v="ORD00317"/>
    <s v="CUST00317"/>
    <s v="female"/>
    <n v="48"/>
    <s v="senior"/>
    <s v="2024-03-06"/>
    <s v="Mar"/>
    <s v="Returned"/>
    <x v="2"/>
    <s v="Clothing"/>
    <s v="S"/>
    <n v="3"/>
    <s v="high"/>
    <n v="3756"/>
    <x v="0"/>
    <s v="Maharashtra"/>
  </r>
  <r>
    <s v="ORD00318"/>
    <s v="CUST00318"/>
    <s v="female"/>
    <n v="42"/>
    <s v="adult"/>
    <s v="2024-05-30"/>
    <s v="May"/>
    <s v="Cancelled"/>
    <x v="1"/>
    <s v="Accessories"/>
    <s v="M"/>
    <n v="2"/>
    <s v="low"/>
    <n v="2488"/>
    <x v="0"/>
    <s v="Maharashtra"/>
  </r>
  <r>
    <s v="ORD00319"/>
    <s v="CUST00319"/>
    <s v="male"/>
    <n v="28"/>
    <s v="adult"/>
    <s v="2024-07-23"/>
    <s v="Jul"/>
    <s v="Cancelled"/>
    <x v="1"/>
    <s v="Shoes"/>
    <s v="XL"/>
    <n v="1"/>
    <s v="low"/>
    <n v="2453"/>
    <x v="5"/>
    <s v="Karnataka"/>
  </r>
  <r>
    <s v="ORD00320"/>
    <s v="CUST00320"/>
    <s v="female"/>
    <n v="35"/>
    <s v="adult"/>
    <s v="2024-07-07"/>
    <s v="Jul"/>
    <s v="Cancelled"/>
    <x v="0"/>
    <s v="Clothing"/>
    <s v="L"/>
    <n v="5"/>
    <s v="high"/>
    <n v="8785"/>
    <x v="2"/>
    <s v="Delhi"/>
  </r>
  <r>
    <s v="ORD00321"/>
    <s v="CUST00321"/>
    <s v="female"/>
    <n v="53"/>
    <s v="senior"/>
    <s v="2024-03-08"/>
    <s v="Mar"/>
    <s v="Returned"/>
    <x v="2"/>
    <s v="Accessories"/>
    <s v="XL"/>
    <n v="4"/>
    <s v="high"/>
    <n v="3740"/>
    <x v="3"/>
    <s v="Maharashtra"/>
  </r>
  <r>
    <s v="ORD00322"/>
    <s v="CUST00322"/>
    <s v="male"/>
    <n v="50"/>
    <s v="senior"/>
    <s v="2024-02-07"/>
    <s v="Feb"/>
    <s v="Cancelled"/>
    <x v="1"/>
    <s v="Accessories"/>
    <s v="L"/>
    <n v="3"/>
    <s v="low"/>
    <n v="1854"/>
    <x v="5"/>
    <s v="Karnataka"/>
  </r>
  <r>
    <s v="ORD00323"/>
    <s v="CUST00323"/>
    <s v="male"/>
    <n v="26"/>
    <s v="adult"/>
    <s v="2024-09-13"/>
    <s v="Sep"/>
    <s v="Delivered"/>
    <x v="2"/>
    <s v="Shoes"/>
    <s v="L"/>
    <n v="2"/>
    <s v="low"/>
    <n v="1888"/>
    <x v="2"/>
    <s v="Delhi"/>
  </r>
  <r>
    <s v="ORD00324"/>
    <s v="CUST00324"/>
    <s v="male"/>
    <n v="41"/>
    <s v="adult"/>
    <s v="2024-11-26"/>
    <s v="Nov"/>
    <s v="Returned"/>
    <x v="0"/>
    <s v="Clothing"/>
    <s v="XL"/>
    <n v="5"/>
    <s v="high"/>
    <n v="8755"/>
    <x v="4"/>
    <s v="Gujarat"/>
  </r>
  <r>
    <s v="ORD00325"/>
    <s v="CUST00325"/>
    <s v="male"/>
    <n v="18"/>
    <s v="teen"/>
    <s v="2024-03-14"/>
    <s v="Mar"/>
    <s v="Delivered"/>
    <x v="0"/>
    <s v="Electronics"/>
    <s v="S"/>
    <n v="3"/>
    <s v="high"/>
    <n v="4815"/>
    <x v="1"/>
    <s v="Maharashtra"/>
  </r>
  <r>
    <s v="ORD00326"/>
    <s v="CUST00326"/>
    <s v="male"/>
    <n v="54"/>
    <s v="senior"/>
    <s v="2024-05-06"/>
    <s v="May"/>
    <s v="Delivered"/>
    <x v="2"/>
    <s v="Shoes"/>
    <s v="M"/>
    <n v="5"/>
    <s v="high"/>
    <n v="12915"/>
    <x v="4"/>
    <s v="Gujarat"/>
  </r>
  <r>
    <s v="ORD00327"/>
    <s v="CUST00327"/>
    <s v="female"/>
    <n v="54"/>
    <s v="senior"/>
    <s v="2024-12-06"/>
    <s v="Dec"/>
    <s v="Cancelled"/>
    <x v="0"/>
    <s v="Shoes"/>
    <s v="S"/>
    <n v="1"/>
    <s v="low"/>
    <n v="825"/>
    <x v="7"/>
    <s v="Telangana"/>
  </r>
  <r>
    <s v="ORD00328"/>
    <s v="CUST00328"/>
    <s v="female"/>
    <n v="20"/>
    <s v="teen"/>
    <s v="2024-08-13"/>
    <s v="Aug"/>
    <s v="Cancelled"/>
    <x v="0"/>
    <s v="Accessories"/>
    <s v="L"/>
    <n v="2"/>
    <s v="high"/>
    <n v="3846"/>
    <x v="5"/>
    <s v="Karnataka"/>
  </r>
  <r>
    <s v="ORD00329"/>
    <s v="CUST00329"/>
    <s v="female"/>
    <n v="40"/>
    <s v="adult"/>
    <s v="2024-01-18"/>
    <s v="Jan"/>
    <s v="Cancelled"/>
    <x v="0"/>
    <s v="Accessories"/>
    <s v="XL"/>
    <n v="3"/>
    <s v="high"/>
    <n v="8886"/>
    <x v="0"/>
    <s v="Maharashtra"/>
  </r>
  <r>
    <s v="ORD00330"/>
    <s v="CUST00330"/>
    <s v="male"/>
    <n v="30"/>
    <s v="adult"/>
    <s v="2024-04-29"/>
    <s v="Apr"/>
    <s v="Cancelled"/>
    <x v="1"/>
    <s v="Accessories"/>
    <s v="S"/>
    <n v="1"/>
    <s v="low"/>
    <n v="807"/>
    <x v="3"/>
    <s v="Maharashtra"/>
  </r>
  <r>
    <s v="ORD00331"/>
    <s v="CUST00331"/>
    <s v="male"/>
    <n v="47"/>
    <s v="senior"/>
    <s v="2024-06-10"/>
    <s v="Jun"/>
    <s v="Delivered"/>
    <x v="0"/>
    <s v="Shoes"/>
    <s v="M"/>
    <n v="3"/>
    <s v="low"/>
    <n v="2148"/>
    <x v="3"/>
    <s v="Maharashtra"/>
  </r>
  <r>
    <s v="ORD00332"/>
    <s v="CUST00332"/>
    <s v="male"/>
    <n v="34"/>
    <s v="adult"/>
    <s v="2024-04-17"/>
    <s v="Apr"/>
    <s v="Cancelled"/>
    <x v="0"/>
    <s v="Clothing"/>
    <s v="M"/>
    <n v="3"/>
    <s v="low"/>
    <n v="2883"/>
    <x v="7"/>
    <s v="Telangana"/>
  </r>
  <r>
    <s v="ORD00333"/>
    <s v="CUST00333"/>
    <s v="male"/>
    <n v="23"/>
    <s v="teen"/>
    <s v="2024-08-16"/>
    <s v="Aug"/>
    <s v="Cancelled"/>
    <x v="1"/>
    <s v="Electronics"/>
    <s v="XL"/>
    <n v="4"/>
    <s v="high"/>
    <n v="9160"/>
    <x v="1"/>
    <s v="Maharashtra"/>
  </r>
  <r>
    <s v="ORD00334"/>
    <s v="CUST00334"/>
    <s v="male"/>
    <n v="44"/>
    <s v="adult"/>
    <s v="2024-05-03"/>
    <s v="May"/>
    <s v="Delivered"/>
    <x v="0"/>
    <s v="Clothing"/>
    <s v="M"/>
    <n v="1"/>
    <s v="low"/>
    <n v="2932"/>
    <x v="6"/>
    <s v="Tamil Nadu"/>
  </r>
  <r>
    <s v="ORD00335"/>
    <s v="CUST00335"/>
    <s v="male"/>
    <n v="43"/>
    <s v="adult"/>
    <s v="2024-11-22"/>
    <s v="Nov"/>
    <s v="Delivered"/>
    <x v="1"/>
    <s v="Clothing"/>
    <s v="M"/>
    <n v="1"/>
    <s v="low"/>
    <n v="2259"/>
    <x v="1"/>
    <s v="Maharashtra"/>
  </r>
  <r>
    <s v="ORD00336"/>
    <s v="CUST00336"/>
    <s v="male"/>
    <n v="26"/>
    <s v="adult"/>
    <s v="2024-06-05"/>
    <s v="Jun"/>
    <s v="Delivered"/>
    <x v="1"/>
    <s v="Shoes"/>
    <s v="XL"/>
    <n v="3"/>
    <s v="high"/>
    <n v="4728"/>
    <x v="5"/>
    <s v="Karnataka"/>
  </r>
  <r>
    <s v="ORD00337"/>
    <s v="CUST00337"/>
    <s v="male"/>
    <n v="35"/>
    <s v="adult"/>
    <s v="2024-07-17"/>
    <s v="Jul"/>
    <s v="Delivered"/>
    <x v="0"/>
    <s v="Electronics"/>
    <s v="S"/>
    <n v="3"/>
    <s v="high"/>
    <n v="7215"/>
    <x v="3"/>
    <s v="Maharashtra"/>
  </r>
  <r>
    <s v="ORD00338"/>
    <s v="CUST00338"/>
    <s v="male"/>
    <n v="19"/>
    <s v="teen"/>
    <s v="2024-11-24"/>
    <s v="Nov"/>
    <s v="Returned"/>
    <x v="2"/>
    <s v="Clothing"/>
    <s v="XL"/>
    <n v="4"/>
    <s v="high"/>
    <n v="5932"/>
    <x v="6"/>
    <s v="Tamil Nadu"/>
  </r>
  <r>
    <s v="ORD00339"/>
    <s v="CUST00339"/>
    <s v="male"/>
    <n v="42"/>
    <s v="adult"/>
    <s v="2024-08-10"/>
    <s v="Aug"/>
    <s v="Cancelled"/>
    <x v="2"/>
    <s v="Accessories"/>
    <s v="M"/>
    <n v="5"/>
    <s v="high"/>
    <n v="5940"/>
    <x v="7"/>
    <s v="Telangana"/>
  </r>
  <r>
    <s v="ORD00340"/>
    <s v="CUST00340"/>
    <s v="female"/>
    <n v="21"/>
    <s v="teen"/>
    <s v="2024-04-29"/>
    <s v="Apr"/>
    <s v="Returned"/>
    <x v="0"/>
    <s v="Electronics"/>
    <s v="XL"/>
    <n v="3"/>
    <s v="high"/>
    <n v="6315"/>
    <x v="5"/>
    <s v="Karnataka"/>
  </r>
  <r>
    <s v="ORD00341"/>
    <s v="CUST00341"/>
    <s v="female"/>
    <n v="36"/>
    <s v="adult"/>
    <s v="2024-10-22"/>
    <s v="Oct"/>
    <s v="Delivered"/>
    <x v="0"/>
    <s v="Shoes"/>
    <s v="XL"/>
    <n v="3"/>
    <s v="high"/>
    <n v="8190"/>
    <x v="7"/>
    <s v="Telangana"/>
  </r>
  <r>
    <s v="ORD00342"/>
    <s v="CUST00342"/>
    <s v="female"/>
    <n v="60"/>
    <s v="senior"/>
    <s v="2024-05-25"/>
    <s v="May"/>
    <s v="Delivered"/>
    <x v="0"/>
    <s v="Clothing"/>
    <s v="L"/>
    <n v="2"/>
    <s v="low"/>
    <n v="1586"/>
    <x v="1"/>
    <s v="Maharashtra"/>
  </r>
  <r>
    <s v="ORD00343"/>
    <s v="CUST00343"/>
    <s v="male"/>
    <n v="25"/>
    <s v="adult"/>
    <s v="2024-07-10"/>
    <s v="Jul"/>
    <s v="Cancelled"/>
    <x v="1"/>
    <s v="Clothing"/>
    <s v="M"/>
    <n v="4"/>
    <s v="low"/>
    <n v="2668"/>
    <x v="2"/>
    <s v="Delhi"/>
  </r>
  <r>
    <s v="ORD00344"/>
    <s v="CUST00344"/>
    <s v="male"/>
    <n v="50"/>
    <s v="senior"/>
    <s v="2024-01-06"/>
    <s v="Jan"/>
    <s v="Delivered"/>
    <x v="1"/>
    <s v="Electronics"/>
    <s v="L"/>
    <n v="2"/>
    <s v="low"/>
    <n v="1282"/>
    <x v="0"/>
    <s v="Maharashtra"/>
  </r>
  <r>
    <s v="ORD00345"/>
    <s v="CUST00345"/>
    <s v="male"/>
    <n v="60"/>
    <s v="senior"/>
    <s v="2024-12-16"/>
    <s v="Dec"/>
    <s v="Delivered"/>
    <x v="2"/>
    <s v="Electronics"/>
    <s v="XL"/>
    <n v="3"/>
    <s v="low"/>
    <n v="1785"/>
    <x v="7"/>
    <s v="Telangana"/>
  </r>
  <r>
    <s v="ORD00346"/>
    <s v="CUST00346"/>
    <s v="female"/>
    <n v="27"/>
    <s v="adult"/>
    <s v="2024-05-24"/>
    <s v="May"/>
    <s v="Delivered"/>
    <x v="0"/>
    <s v="Shoes"/>
    <s v="S"/>
    <n v="5"/>
    <s v="high"/>
    <n v="8135"/>
    <x v="5"/>
    <s v="Karnataka"/>
  </r>
  <r>
    <s v="ORD00347"/>
    <s v="CUST00347"/>
    <s v="male"/>
    <n v="33"/>
    <s v="adult"/>
    <s v="2024-10-20"/>
    <s v="Oct"/>
    <s v="Cancelled"/>
    <x v="2"/>
    <s v="Clothing"/>
    <s v="L"/>
    <n v="2"/>
    <s v="low"/>
    <n v="2260"/>
    <x v="7"/>
    <s v="Telangana"/>
  </r>
  <r>
    <s v="ORD00348"/>
    <s v="CUST00348"/>
    <s v="female"/>
    <n v="53"/>
    <s v="senior"/>
    <s v="2024-05-18"/>
    <s v="May"/>
    <s v="Delivered"/>
    <x v="2"/>
    <s v="Electronics"/>
    <s v="L"/>
    <n v="3"/>
    <s v="high"/>
    <n v="7155"/>
    <x v="3"/>
    <s v="Maharashtra"/>
  </r>
  <r>
    <s v="ORD00349"/>
    <s v="CUST00349"/>
    <s v="male"/>
    <n v="40"/>
    <s v="adult"/>
    <s v="2024-03-29"/>
    <s v="Mar"/>
    <s v="Returned"/>
    <x v="0"/>
    <s v="Clothing"/>
    <s v="XL"/>
    <n v="1"/>
    <s v="low"/>
    <n v="2710"/>
    <x v="3"/>
    <s v="Maharashtra"/>
  </r>
  <r>
    <s v="ORD00350"/>
    <s v="CUST00350"/>
    <s v="female"/>
    <n v="26"/>
    <s v="adult"/>
    <s v="2024-01-08"/>
    <s v="Jan"/>
    <s v="Delivered"/>
    <x v="0"/>
    <s v="Clothing"/>
    <s v="M"/>
    <n v="5"/>
    <s v="high"/>
    <n v="12200"/>
    <x v="0"/>
    <s v="Maharashtra"/>
  </r>
  <r>
    <s v="ORD00351"/>
    <s v="CUST00351"/>
    <s v="male"/>
    <n v="19"/>
    <s v="teen"/>
    <s v="2024-01-13"/>
    <s v="Jan"/>
    <s v="Returned"/>
    <x v="2"/>
    <s v="Shoes"/>
    <s v="L"/>
    <n v="4"/>
    <s v="high"/>
    <n v="4316"/>
    <x v="4"/>
    <s v="Gujarat"/>
  </r>
  <r>
    <s v="ORD00352"/>
    <s v="CUST00352"/>
    <s v="male"/>
    <n v="33"/>
    <s v="adult"/>
    <s v="2024-02-28"/>
    <s v="Feb"/>
    <s v="Cancelled"/>
    <x v="1"/>
    <s v="Shoes"/>
    <s v="S"/>
    <n v="4"/>
    <s v="high"/>
    <n v="11068"/>
    <x v="3"/>
    <s v="Maharashtra"/>
  </r>
  <r>
    <s v="ORD00353"/>
    <s v="CUST00353"/>
    <s v="male"/>
    <n v="54"/>
    <s v="senior"/>
    <s v="2024-08-22"/>
    <s v="Aug"/>
    <s v="Delivered"/>
    <x v="2"/>
    <s v="Electronics"/>
    <s v="XL"/>
    <n v="1"/>
    <s v="low"/>
    <n v="511"/>
    <x v="0"/>
    <s v="Maharashtra"/>
  </r>
  <r>
    <s v="ORD00354"/>
    <s v="CUST00354"/>
    <s v="male"/>
    <n v="19"/>
    <s v="teen"/>
    <s v="2024-03-17"/>
    <s v="Mar"/>
    <s v="Delivered"/>
    <x v="0"/>
    <s v="Electronics"/>
    <s v="M"/>
    <n v="5"/>
    <s v="high"/>
    <n v="3350"/>
    <x v="6"/>
    <s v="Tamil Nadu"/>
  </r>
  <r>
    <s v="ORD00355"/>
    <s v="CUST00355"/>
    <s v="female"/>
    <n v="46"/>
    <s v="senior"/>
    <s v="2024-04-12"/>
    <s v="Apr"/>
    <s v="Cancelled"/>
    <x v="1"/>
    <s v="Clothing"/>
    <s v="L"/>
    <n v="2"/>
    <s v="high"/>
    <n v="5310"/>
    <x v="7"/>
    <s v="Telangana"/>
  </r>
  <r>
    <s v="ORD00356"/>
    <s v="CUST00356"/>
    <s v="male"/>
    <n v="59"/>
    <s v="senior"/>
    <s v="2024-02-20"/>
    <s v="Feb"/>
    <s v="Cancelled"/>
    <x v="2"/>
    <s v="Electronics"/>
    <s v="S"/>
    <n v="5"/>
    <s v="high"/>
    <n v="9390"/>
    <x v="1"/>
    <s v="Maharashtra"/>
  </r>
  <r>
    <s v="ORD00357"/>
    <s v="CUST00357"/>
    <s v="female"/>
    <n v="56"/>
    <s v="senior"/>
    <s v="2024-08-14"/>
    <s v="Aug"/>
    <s v="Returned"/>
    <x v="0"/>
    <s v="Electronics"/>
    <s v="L"/>
    <n v="3"/>
    <s v="low"/>
    <n v="2712"/>
    <x v="2"/>
    <s v="Delhi"/>
  </r>
  <r>
    <s v="ORD00358"/>
    <s v="CUST00358"/>
    <s v="female"/>
    <n v="35"/>
    <s v="adult"/>
    <s v="2024-04-30"/>
    <s v="Apr"/>
    <s v="Delivered"/>
    <x v="0"/>
    <s v="Shoes"/>
    <s v="XL"/>
    <n v="2"/>
    <s v="high"/>
    <n v="4142"/>
    <x v="4"/>
    <s v="Gujarat"/>
  </r>
  <r>
    <s v="ORD00359"/>
    <s v="CUST00359"/>
    <s v="female"/>
    <n v="36"/>
    <s v="adult"/>
    <s v="2024-08-08"/>
    <s v="Aug"/>
    <s v="Returned"/>
    <x v="2"/>
    <s v="Accessories"/>
    <s v="L"/>
    <n v="2"/>
    <s v="low"/>
    <n v="1572"/>
    <x v="7"/>
    <s v="Telangana"/>
  </r>
  <r>
    <s v="ORD00360"/>
    <s v="CUST00360"/>
    <s v="female"/>
    <n v="54"/>
    <s v="senior"/>
    <s v="2024-03-13"/>
    <s v="Mar"/>
    <s v="Returned"/>
    <x v="0"/>
    <s v="Electronics"/>
    <s v="S"/>
    <n v="5"/>
    <s v="low"/>
    <n v="2520"/>
    <x v="4"/>
    <s v="Gujarat"/>
  </r>
  <r>
    <s v="ORD00361"/>
    <s v="CUST00361"/>
    <s v="female"/>
    <n v="48"/>
    <s v="senior"/>
    <s v="2024-09-14"/>
    <s v="Sep"/>
    <s v="Cancelled"/>
    <x v="0"/>
    <s v="Clothing"/>
    <s v="L"/>
    <n v="1"/>
    <s v="low"/>
    <n v="859"/>
    <x v="4"/>
    <s v="Gujarat"/>
  </r>
  <r>
    <s v="ORD00362"/>
    <s v="CUST00362"/>
    <s v="male"/>
    <n v="19"/>
    <s v="teen"/>
    <s v="2024-02-05"/>
    <s v="Feb"/>
    <s v="Returned"/>
    <x v="1"/>
    <s v="Clothing"/>
    <s v="M"/>
    <n v="4"/>
    <s v="high"/>
    <n v="7196"/>
    <x v="0"/>
    <s v="Maharashtra"/>
  </r>
  <r>
    <s v="ORD00363"/>
    <s v="CUST00363"/>
    <s v="male"/>
    <n v="50"/>
    <s v="senior"/>
    <s v="2024-03-28"/>
    <s v="Mar"/>
    <s v="Returned"/>
    <x v="1"/>
    <s v="Shoes"/>
    <s v="XL"/>
    <n v="3"/>
    <s v="high"/>
    <n v="7107"/>
    <x v="5"/>
    <s v="Karnataka"/>
  </r>
  <r>
    <s v="ORD00364"/>
    <s v="CUST00364"/>
    <s v="male"/>
    <n v="46"/>
    <s v="senior"/>
    <s v="2024-10-09"/>
    <s v="Oct"/>
    <s v="Cancelled"/>
    <x v="2"/>
    <s v="Shoes"/>
    <s v="L"/>
    <n v="4"/>
    <s v="high"/>
    <n v="6080"/>
    <x v="4"/>
    <s v="Gujarat"/>
  </r>
  <r>
    <s v="ORD00365"/>
    <s v="CUST00365"/>
    <s v="female"/>
    <n v="57"/>
    <s v="senior"/>
    <s v="2024-11-26"/>
    <s v="Nov"/>
    <s v="Cancelled"/>
    <x v="1"/>
    <s v="Electronics"/>
    <s v="L"/>
    <n v="3"/>
    <s v="high"/>
    <n v="4344"/>
    <x v="4"/>
    <s v="Gujarat"/>
  </r>
  <r>
    <s v="ORD00366"/>
    <s v="CUST00366"/>
    <s v="male"/>
    <n v="26"/>
    <s v="adult"/>
    <s v="2024-10-13"/>
    <s v="Oct"/>
    <s v="Returned"/>
    <x v="1"/>
    <s v="Shoes"/>
    <s v="L"/>
    <n v="5"/>
    <s v="high"/>
    <n v="5605"/>
    <x v="5"/>
    <s v="Karnataka"/>
  </r>
  <r>
    <s v="ORD00367"/>
    <s v="CUST00367"/>
    <s v="male"/>
    <n v="29"/>
    <s v="adult"/>
    <s v="2024-12-12"/>
    <s v="Dec"/>
    <s v="Delivered"/>
    <x v="0"/>
    <s v="Accessories"/>
    <s v="L"/>
    <n v="3"/>
    <s v="high"/>
    <n v="7074"/>
    <x v="5"/>
    <s v="Karnataka"/>
  </r>
  <r>
    <s v="ORD00368"/>
    <s v="CUST00368"/>
    <s v="male"/>
    <n v="60"/>
    <s v="senior"/>
    <s v="2024-11-05"/>
    <s v="Nov"/>
    <s v="Cancelled"/>
    <x v="1"/>
    <s v="Shoes"/>
    <s v="M"/>
    <n v="1"/>
    <s v="low"/>
    <n v="2384"/>
    <x v="4"/>
    <s v="Gujarat"/>
  </r>
  <r>
    <s v="ORD00369"/>
    <s v="CUST00369"/>
    <s v="female"/>
    <n v="35"/>
    <s v="adult"/>
    <s v="2024-06-13"/>
    <s v="Jun"/>
    <s v="Returned"/>
    <x v="0"/>
    <s v="Shoes"/>
    <s v="XL"/>
    <n v="1"/>
    <s v="low"/>
    <n v="1994"/>
    <x v="1"/>
    <s v="Maharashtra"/>
  </r>
  <r>
    <s v="ORD00370"/>
    <s v="CUST00370"/>
    <s v="male"/>
    <n v="55"/>
    <s v="senior"/>
    <s v="2024-11-27"/>
    <s v="Nov"/>
    <s v="Cancelled"/>
    <x v="1"/>
    <s v="Clothing"/>
    <s v="XL"/>
    <n v="4"/>
    <s v="high"/>
    <n v="4372"/>
    <x v="2"/>
    <s v="Delhi"/>
  </r>
  <r>
    <s v="ORD00371"/>
    <s v="CUST00371"/>
    <s v="male"/>
    <n v="30"/>
    <s v="adult"/>
    <s v="2024-08-16"/>
    <s v="Aug"/>
    <s v="Delivered"/>
    <x v="0"/>
    <s v="Clothing"/>
    <s v="XL"/>
    <n v="4"/>
    <s v="high"/>
    <n v="9852"/>
    <x v="6"/>
    <s v="Tamil Nadu"/>
  </r>
  <r>
    <s v="ORD00372"/>
    <s v="CUST00372"/>
    <s v="male"/>
    <n v="45"/>
    <s v="adult"/>
    <s v="2024-01-24"/>
    <s v="Jan"/>
    <s v="Returned"/>
    <x v="1"/>
    <s v="Accessories"/>
    <s v="XL"/>
    <n v="2"/>
    <s v="low"/>
    <n v="1062"/>
    <x v="0"/>
    <s v="Maharashtra"/>
  </r>
  <r>
    <s v="ORD00373"/>
    <s v="CUST00373"/>
    <s v="female"/>
    <n v="37"/>
    <s v="adult"/>
    <s v="2024-12-06"/>
    <s v="Dec"/>
    <s v="Cancelled"/>
    <x v="0"/>
    <s v="Shoes"/>
    <s v="XL"/>
    <n v="4"/>
    <s v="high"/>
    <n v="3196"/>
    <x v="5"/>
    <s v="Karnataka"/>
  </r>
  <r>
    <s v="ORD00374"/>
    <s v="CUST00374"/>
    <s v="male"/>
    <n v="50"/>
    <s v="senior"/>
    <s v="2024-05-10"/>
    <s v="May"/>
    <s v="Returned"/>
    <x v="2"/>
    <s v="Electronics"/>
    <s v="L"/>
    <n v="3"/>
    <s v="high"/>
    <n v="7473"/>
    <x v="5"/>
    <s v="Karnataka"/>
  </r>
  <r>
    <s v="ORD00375"/>
    <s v="CUST00375"/>
    <s v="female"/>
    <n v="28"/>
    <s v="adult"/>
    <s v="2024-01-24"/>
    <s v="Jan"/>
    <s v="Delivered"/>
    <x v="2"/>
    <s v="Clothing"/>
    <s v="M"/>
    <n v="3"/>
    <s v="high"/>
    <n v="5139"/>
    <x v="7"/>
    <s v="Telangana"/>
  </r>
  <r>
    <s v="ORD00376"/>
    <s v="CUST00376"/>
    <s v="female"/>
    <n v="27"/>
    <s v="adult"/>
    <s v="2024-05-23"/>
    <s v="May"/>
    <s v="Returned"/>
    <x v="2"/>
    <s v="Shoes"/>
    <s v="M"/>
    <n v="2"/>
    <s v="high"/>
    <n v="3240"/>
    <x v="5"/>
    <s v="Karnataka"/>
  </r>
  <r>
    <s v="ORD00377"/>
    <s v="CUST00377"/>
    <s v="male"/>
    <n v="18"/>
    <s v="teen"/>
    <s v="2024-07-13"/>
    <s v="Jul"/>
    <s v="Cancelled"/>
    <x v="2"/>
    <s v="Shoes"/>
    <s v="M"/>
    <n v="3"/>
    <s v="high"/>
    <n v="6234"/>
    <x v="1"/>
    <s v="Maharashtra"/>
  </r>
  <r>
    <s v="ORD00378"/>
    <s v="CUST00378"/>
    <s v="female"/>
    <n v="41"/>
    <s v="adult"/>
    <s v="2024-10-19"/>
    <s v="Oct"/>
    <s v="Delivered"/>
    <x v="1"/>
    <s v="Electronics"/>
    <s v="S"/>
    <n v="1"/>
    <s v="low"/>
    <n v="2209"/>
    <x v="1"/>
    <s v="Maharashtra"/>
  </r>
  <r>
    <s v="ORD00379"/>
    <s v="CUST00379"/>
    <s v="male"/>
    <n v="56"/>
    <s v="senior"/>
    <s v="2024-10-25"/>
    <s v="Oct"/>
    <s v="Cancelled"/>
    <x v="0"/>
    <s v="Accessories"/>
    <s v="S"/>
    <n v="1"/>
    <s v="low"/>
    <n v="2473"/>
    <x v="2"/>
    <s v="Delhi"/>
  </r>
  <r>
    <s v="ORD00380"/>
    <s v="CUST00380"/>
    <s v="male"/>
    <n v="55"/>
    <s v="senior"/>
    <s v="2024-07-26"/>
    <s v="Jul"/>
    <s v="Delivered"/>
    <x v="2"/>
    <s v="Shoes"/>
    <s v="M"/>
    <n v="1"/>
    <s v="low"/>
    <n v="2652"/>
    <x v="1"/>
    <s v="Maharashtra"/>
  </r>
  <r>
    <s v="ORD00381"/>
    <s v="CUST00381"/>
    <s v="male"/>
    <n v="30"/>
    <s v="adult"/>
    <s v="2024-08-31"/>
    <s v="Aug"/>
    <s v="Delivered"/>
    <x v="0"/>
    <s v="Clothing"/>
    <s v="S"/>
    <n v="5"/>
    <s v="high"/>
    <n v="14305"/>
    <x v="4"/>
    <s v="Gujarat"/>
  </r>
  <r>
    <s v="ORD00382"/>
    <s v="CUST00382"/>
    <s v="female"/>
    <n v="35"/>
    <s v="adult"/>
    <s v="2024-03-15"/>
    <s v="Mar"/>
    <s v="Delivered"/>
    <x v="1"/>
    <s v="Electronics"/>
    <s v="L"/>
    <n v="3"/>
    <s v="high"/>
    <n v="4767"/>
    <x v="2"/>
    <s v="Delhi"/>
  </r>
  <r>
    <s v="ORD00383"/>
    <s v="CUST00383"/>
    <s v="female"/>
    <n v="43"/>
    <s v="adult"/>
    <s v="2024-10-02"/>
    <s v="Oct"/>
    <s v="Cancelled"/>
    <x v="1"/>
    <s v="Clothing"/>
    <s v="S"/>
    <n v="4"/>
    <s v="high"/>
    <n v="9012"/>
    <x v="7"/>
    <s v="Telangana"/>
  </r>
  <r>
    <s v="ORD00384"/>
    <s v="CUST00384"/>
    <s v="male"/>
    <n v="40"/>
    <s v="adult"/>
    <s v="2024-07-17"/>
    <s v="Jul"/>
    <s v="Cancelled"/>
    <x v="0"/>
    <s v="Electronics"/>
    <s v="L"/>
    <n v="3"/>
    <s v="high"/>
    <n v="4182"/>
    <x v="2"/>
    <s v="Delhi"/>
  </r>
  <r>
    <s v="ORD00385"/>
    <s v="CUST00385"/>
    <s v="female"/>
    <n v="20"/>
    <s v="teen"/>
    <s v="2024-11-25"/>
    <s v="Nov"/>
    <s v="Delivered"/>
    <x v="2"/>
    <s v="Clothing"/>
    <s v="M"/>
    <n v="4"/>
    <s v="low"/>
    <n v="2408"/>
    <x v="3"/>
    <s v="Maharashtra"/>
  </r>
  <r>
    <s v="ORD00386"/>
    <s v="CUST00386"/>
    <s v="male"/>
    <n v="23"/>
    <s v="teen"/>
    <s v="2024-01-23"/>
    <s v="Jan"/>
    <s v="Delivered"/>
    <x v="0"/>
    <s v="Accessories"/>
    <s v="XL"/>
    <n v="1"/>
    <s v="low"/>
    <n v="581"/>
    <x v="6"/>
    <s v="Tamil Nadu"/>
  </r>
  <r>
    <s v="ORD00387"/>
    <s v="CUST00387"/>
    <s v="male"/>
    <n v="23"/>
    <s v="teen"/>
    <s v="2024-09-26"/>
    <s v="Sep"/>
    <s v="Returned"/>
    <x v="0"/>
    <s v="Electronics"/>
    <s v="L"/>
    <n v="4"/>
    <s v="high"/>
    <n v="6140"/>
    <x v="2"/>
    <s v="Delhi"/>
  </r>
  <r>
    <s v="ORD00388"/>
    <s v="CUST00388"/>
    <s v="male"/>
    <n v="27"/>
    <s v="adult"/>
    <s v="2024-07-25"/>
    <s v="Jul"/>
    <s v="Returned"/>
    <x v="2"/>
    <s v="Shoes"/>
    <s v="M"/>
    <n v="1"/>
    <s v="low"/>
    <n v="2319"/>
    <x v="4"/>
    <s v="Gujarat"/>
  </r>
  <r>
    <s v="ORD00389"/>
    <s v="CUST00389"/>
    <s v="male"/>
    <n v="23"/>
    <s v="teen"/>
    <s v="2024-10-31"/>
    <s v="Oct"/>
    <s v="Delivered"/>
    <x v="2"/>
    <s v="Electronics"/>
    <s v="L"/>
    <n v="3"/>
    <s v="high"/>
    <n v="3834"/>
    <x v="6"/>
    <s v="Tamil Nadu"/>
  </r>
  <r>
    <s v="ORD00390"/>
    <s v="CUST00390"/>
    <s v="female"/>
    <n v="47"/>
    <s v="senior"/>
    <s v="2024-06-17"/>
    <s v="Jun"/>
    <s v="Returned"/>
    <x v="0"/>
    <s v="Shoes"/>
    <s v="L"/>
    <n v="1"/>
    <s v="low"/>
    <n v="1457"/>
    <x v="4"/>
    <s v="Gujarat"/>
  </r>
  <r>
    <s v="ORD00391"/>
    <s v="CUST00391"/>
    <s v="female"/>
    <n v="60"/>
    <s v="senior"/>
    <s v="2024-03-25"/>
    <s v="Mar"/>
    <s v="Returned"/>
    <x v="2"/>
    <s v="Electronics"/>
    <s v="L"/>
    <n v="5"/>
    <s v="high"/>
    <n v="13745"/>
    <x v="3"/>
    <s v="Maharashtra"/>
  </r>
  <r>
    <s v="ORD00392"/>
    <s v="CUST00392"/>
    <s v="male"/>
    <n v="48"/>
    <s v="senior"/>
    <s v="2024-11-06"/>
    <s v="Nov"/>
    <s v="Delivered"/>
    <x v="0"/>
    <s v="Electronics"/>
    <s v="S"/>
    <n v="3"/>
    <s v="high"/>
    <n v="8241"/>
    <x v="7"/>
    <s v="Telangana"/>
  </r>
  <r>
    <s v="ORD00393"/>
    <s v="CUST00393"/>
    <s v="female"/>
    <n v="23"/>
    <s v="teen"/>
    <s v="2024-05-18"/>
    <s v="May"/>
    <s v="Delivered"/>
    <x v="0"/>
    <s v="Clothing"/>
    <s v="M"/>
    <n v="5"/>
    <s v="high"/>
    <n v="12490"/>
    <x v="1"/>
    <s v="Maharashtra"/>
  </r>
  <r>
    <s v="ORD00394"/>
    <s v="CUST00394"/>
    <s v="male"/>
    <n v="59"/>
    <s v="senior"/>
    <s v="2024-05-06"/>
    <s v="May"/>
    <s v="Returned"/>
    <x v="2"/>
    <s v="Shoes"/>
    <s v="XL"/>
    <n v="5"/>
    <s v="high"/>
    <n v="7130"/>
    <x v="7"/>
    <s v="Telangana"/>
  </r>
  <r>
    <s v="ORD00395"/>
    <s v="CUST00395"/>
    <s v="female"/>
    <n v="60"/>
    <s v="senior"/>
    <s v="2024-11-12"/>
    <s v="Nov"/>
    <s v="Returned"/>
    <x v="1"/>
    <s v="Clothing"/>
    <s v="L"/>
    <n v="2"/>
    <s v="high"/>
    <n v="5132"/>
    <x v="7"/>
    <s v="Telangana"/>
  </r>
  <r>
    <s v="ORD00396"/>
    <s v="CUST00396"/>
    <s v="female"/>
    <n v="29"/>
    <s v="adult"/>
    <s v="2024-08-09"/>
    <s v="Aug"/>
    <s v="Returned"/>
    <x v="1"/>
    <s v="Accessories"/>
    <s v="XL"/>
    <n v="5"/>
    <s v="high"/>
    <n v="7330"/>
    <x v="3"/>
    <s v="Maharashtra"/>
  </r>
  <r>
    <s v="ORD00397"/>
    <s v="CUST00397"/>
    <s v="male"/>
    <n v="27"/>
    <s v="adult"/>
    <s v="2024-02-24"/>
    <s v="Feb"/>
    <s v="Delivered"/>
    <x v="1"/>
    <s v="Electronics"/>
    <s v="XL"/>
    <n v="4"/>
    <s v="high"/>
    <n v="6436"/>
    <x v="2"/>
    <s v="Delhi"/>
  </r>
  <r>
    <s v="ORD00398"/>
    <s v="CUST00398"/>
    <s v="female"/>
    <n v="20"/>
    <s v="teen"/>
    <s v="2024-01-25"/>
    <s v="Jan"/>
    <s v="Returned"/>
    <x v="2"/>
    <s v="Shoes"/>
    <s v="L"/>
    <n v="3"/>
    <s v="low"/>
    <n v="2316"/>
    <x v="6"/>
    <s v="Tamil Nadu"/>
  </r>
  <r>
    <s v="ORD00399"/>
    <s v="CUST00399"/>
    <s v="male"/>
    <n v="30"/>
    <s v="adult"/>
    <s v="2024-11-04"/>
    <s v="Nov"/>
    <s v="Returned"/>
    <x v="0"/>
    <s v="Shoes"/>
    <s v="M"/>
    <n v="1"/>
    <s v="low"/>
    <n v="2415"/>
    <x v="5"/>
    <s v="Karnataka"/>
  </r>
  <r>
    <s v="ORD00400"/>
    <s v="CUST00400"/>
    <s v="female"/>
    <n v="43"/>
    <s v="adult"/>
    <s v="2024-12-26"/>
    <s v="Dec"/>
    <s v="Delivered"/>
    <x v="2"/>
    <s v="Shoes"/>
    <s v="S"/>
    <n v="2"/>
    <s v="low"/>
    <n v="2734"/>
    <x v="0"/>
    <s v="Maharashtra"/>
  </r>
  <r>
    <s v="ORD00401"/>
    <s v="CUST00401"/>
    <s v="female"/>
    <n v="26"/>
    <s v="adult"/>
    <s v="2024-12-06"/>
    <s v="Dec"/>
    <s v="Delivered"/>
    <x v="1"/>
    <s v="Shoes"/>
    <s v="M"/>
    <n v="4"/>
    <s v="high"/>
    <n v="8760"/>
    <x v="3"/>
    <s v="Maharashtra"/>
  </r>
  <r>
    <s v="ORD00402"/>
    <s v="CUST00402"/>
    <s v="female"/>
    <n v="55"/>
    <s v="senior"/>
    <s v="2024-01-08"/>
    <s v="Jan"/>
    <s v="Delivered"/>
    <x v="2"/>
    <s v="Accessories"/>
    <s v="M"/>
    <n v="1"/>
    <s v="low"/>
    <n v="2836"/>
    <x v="4"/>
    <s v="Gujarat"/>
  </r>
  <r>
    <s v="ORD00403"/>
    <s v="CUST00403"/>
    <s v="male"/>
    <n v="31"/>
    <s v="adult"/>
    <s v="2024-06-01"/>
    <s v="Jun"/>
    <s v="Cancelled"/>
    <x v="1"/>
    <s v="Shoes"/>
    <s v="XL"/>
    <n v="4"/>
    <s v="high"/>
    <n v="4972"/>
    <x v="7"/>
    <s v="Telangana"/>
  </r>
  <r>
    <s v="ORD00404"/>
    <s v="CUST00404"/>
    <s v="male"/>
    <n v="27"/>
    <s v="adult"/>
    <s v="2024-10-01"/>
    <s v="Oct"/>
    <s v="Cancelled"/>
    <x v="1"/>
    <s v="Shoes"/>
    <s v="M"/>
    <n v="3"/>
    <s v="high"/>
    <n v="8952"/>
    <x v="3"/>
    <s v="Maharashtra"/>
  </r>
  <r>
    <s v="ORD00405"/>
    <s v="CUST00405"/>
    <s v="female"/>
    <n v="30"/>
    <s v="adult"/>
    <s v="2024-09-17"/>
    <s v="Sep"/>
    <s v="Returned"/>
    <x v="0"/>
    <s v="Accessories"/>
    <s v="L"/>
    <n v="2"/>
    <s v="high"/>
    <n v="4198"/>
    <x v="4"/>
    <s v="Gujarat"/>
  </r>
  <r>
    <s v="ORD00406"/>
    <s v="CUST00406"/>
    <s v="male"/>
    <n v="53"/>
    <s v="senior"/>
    <s v="2024-03-04"/>
    <s v="Mar"/>
    <s v="Delivered"/>
    <x v="0"/>
    <s v="Accessories"/>
    <s v="M"/>
    <n v="4"/>
    <s v="high"/>
    <n v="5544"/>
    <x v="2"/>
    <s v="Delhi"/>
  </r>
  <r>
    <s v="ORD00407"/>
    <s v="CUST00407"/>
    <s v="female"/>
    <n v="38"/>
    <s v="adult"/>
    <s v="2024-02-18"/>
    <s v="Feb"/>
    <s v="Cancelled"/>
    <x v="0"/>
    <s v="Accessories"/>
    <s v="S"/>
    <n v="4"/>
    <s v="high"/>
    <n v="10176"/>
    <x v="3"/>
    <s v="Maharashtra"/>
  </r>
  <r>
    <s v="ORD00408"/>
    <s v="CUST00408"/>
    <s v="female"/>
    <n v="49"/>
    <s v="senior"/>
    <s v="2024-01-26"/>
    <s v="Jan"/>
    <s v="Delivered"/>
    <x v="1"/>
    <s v="Accessories"/>
    <s v="XL"/>
    <n v="4"/>
    <s v="high"/>
    <n v="8460"/>
    <x v="1"/>
    <s v="Maharashtra"/>
  </r>
  <r>
    <s v="ORD00409"/>
    <s v="CUST00409"/>
    <s v="female"/>
    <n v="48"/>
    <s v="senior"/>
    <s v="2024-05-11"/>
    <s v="May"/>
    <s v="Delivered"/>
    <x v="1"/>
    <s v="Clothing"/>
    <s v="M"/>
    <n v="4"/>
    <s v="high"/>
    <n v="6788"/>
    <x v="6"/>
    <s v="Tamil Nadu"/>
  </r>
  <r>
    <s v="ORD00410"/>
    <s v="CUST00410"/>
    <s v="male"/>
    <n v="18"/>
    <s v="teen"/>
    <s v="2024-08-06"/>
    <s v="Aug"/>
    <s v="Delivered"/>
    <x v="1"/>
    <s v="Shoes"/>
    <s v="L"/>
    <n v="4"/>
    <s v="high"/>
    <n v="5408"/>
    <x v="1"/>
    <s v="Maharashtra"/>
  </r>
  <r>
    <s v="ORD00411"/>
    <s v="CUST00411"/>
    <s v="female"/>
    <n v="21"/>
    <s v="teen"/>
    <s v="2024-03-28"/>
    <s v="Mar"/>
    <s v="Returned"/>
    <x v="0"/>
    <s v="Accessories"/>
    <s v="L"/>
    <n v="2"/>
    <s v="low"/>
    <n v="1330"/>
    <x v="0"/>
    <s v="Maharashtra"/>
  </r>
  <r>
    <s v="ORD00412"/>
    <s v="CUST00412"/>
    <s v="male"/>
    <n v="20"/>
    <s v="teen"/>
    <s v="2024-08-01"/>
    <s v="Aug"/>
    <s v="Cancelled"/>
    <x v="0"/>
    <s v="Shoes"/>
    <s v="L"/>
    <n v="4"/>
    <s v="high"/>
    <n v="5024"/>
    <x v="2"/>
    <s v="Delhi"/>
  </r>
  <r>
    <s v="ORD00413"/>
    <s v="CUST00413"/>
    <s v="male"/>
    <n v="37"/>
    <s v="adult"/>
    <s v="2024-11-02"/>
    <s v="Nov"/>
    <s v="Returned"/>
    <x v="0"/>
    <s v="Accessories"/>
    <s v="XL"/>
    <n v="3"/>
    <s v="high"/>
    <n v="7725"/>
    <x v="5"/>
    <s v="Karnataka"/>
  </r>
  <r>
    <s v="ORD00414"/>
    <s v="CUST00414"/>
    <s v="male"/>
    <n v="58"/>
    <s v="senior"/>
    <s v="2024-02-06"/>
    <s v="Feb"/>
    <s v="Cancelled"/>
    <x v="0"/>
    <s v="Shoes"/>
    <s v="L"/>
    <n v="4"/>
    <s v="high"/>
    <n v="8100"/>
    <x v="1"/>
    <s v="Maharashtra"/>
  </r>
  <r>
    <s v="ORD00415"/>
    <s v="CUST00415"/>
    <s v="male"/>
    <n v="31"/>
    <s v="adult"/>
    <s v="2024-07-14"/>
    <s v="Jul"/>
    <s v="Delivered"/>
    <x v="0"/>
    <s v="Clothing"/>
    <s v="S"/>
    <n v="5"/>
    <s v="high"/>
    <n v="6985"/>
    <x v="1"/>
    <s v="Maharashtra"/>
  </r>
  <r>
    <s v="ORD00416"/>
    <s v="CUST00416"/>
    <s v="female"/>
    <n v="34"/>
    <s v="adult"/>
    <s v="2024-05-22"/>
    <s v="May"/>
    <s v="Returned"/>
    <x v="1"/>
    <s v="Clothing"/>
    <s v="M"/>
    <n v="4"/>
    <s v="low"/>
    <n v="2836"/>
    <x v="0"/>
    <s v="Maharashtra"/>
  </r>
  <r>
    <s v="ORD00417"/>
    <s v="CUST00417"/>
    <s v="female"/>
    <n v="38"/>
    <s v="adult"/>
    <s v="2024-03-31"/>
    <s v="Mar"/>
    <s v="Cancelled"/>
    <x v="2"/>
    <s v="Electronics"/>
    <s v="S"/>
    <n v="5"/>
    <s v="high"/>
    <n v="5225"/>
    <x v="1"/>
    <s v="Maharashtra"/>
  </r>
  <r>
    <s v="ORD00418"/>
    <s v="CUST00418"/>
    <s v="female"/>
    <n v="18"/>
    <s v="teen"/>
    <s v="2024-12-09"/>
    <s v="Dec"/>
    <s v="Delivered"/>
    <x v="2"/>
    <s v="Accessories"/>
    <s v="L"/>
    <n v="4"/>
    <s v="high"/>
    <n v="6184"/>
    <x v="5"/>
    <s v="Karnataka"/>
  </r>
  <r>
    <s v="ORD00419"/>
    <s v="CUST00419"/>
    <s v="male"/>
    <n v="35"/>
    <s v="adult"/>
    <s v="2024-04-12"/>
    <s v="Apr"/>
    <s v="Cancelled"/>
    <x v="2"/>
    <s v="Electronics"/>
    <s v="XL"/>
    <n v="5"/>
    <s v="high"/>
    <n v="3985"/>
    <x v="0"/>
    <s v="Maharashtra"/>
  </r>
  <r>
    <s v="ORD00420"/>
    <s v="CUST00420"/>
    <s v="female"/>
    <n v="53"/>
    <s v="senior"/>
    <s v="2024-07-11"/>
    <s v="Jul"/>
    <s v="Delivered"/>
    <x v="1"/>
    <s v="Electronics"/>
    <s v="XL"/>
    <n v="5"/>
    <s v="high"/>
    <n v="12965"/>
    <x v="1"/>
    <s v="Maharashtra"/>
  </r>
  <r>
    <s v="ORD00421"/>
    <s v="CUST00421"/>
    <s v="female"/>
    <n v="56"/>
    <s v="senior"/>
    <s v="2024-09-22"/>
    <s v="Sep"/>
    <s v="Delivered"/>
    <x v="2"/>
    <s v="Shoes"/>
    <s v="M"/>
    <n v="1"/>
    <s v="low"/>
    <n v="744"/>
    <x v="4"/>
    <s v="Gujarat"/>
  </r>
  <r>
    <s v="ORD00422"/>
    <s v="CUST00422"/>
    <s v="female"/>
    <n v="58"/>
    <s v="senior"/>
    <s v="2024-05-07"/>
    <s v="May"/>
    <s v="Cancelled"/>
    <x v="1"/>
    <s v="Clothing"/>
    <s v="L"/>
    <n v="3"/>
    <s v="high"/>
    <n v="4443"/>
    <x v="3"/>
    <s v="Maharashtra"/>
  </r>
  <r>
    <s v="ORD00423"/>
    <s v="CUST00423"/>
    <s v="male"/>
    <n v="59"/>
    <s v="senior"/>
    <s v="2024-03-26"/>
    <s v="Mar"/>
    <s v="Returned"/>
    <x v="0"/>
    <s v="Accessories"/>
    <s v="M"/>
    <n v="4"/>
    <s v="high"/>
    <n v="7772"/>
    <x v="6"/>
    <s v="Tamil Nadu"/>
  </r>
  <r>
    <s v="ORD00424"/>
    <s v="CUST00424"/>
    <s v="female"/>
    <n v="32"/>
    <s v="adult"/>
    <s v="2024-01-08"/>
    <s v="Jan"/>
    <s v="Returned"/>
    <x v="0"/>
    <s v="Shoes"/>
    <s v="XL"/>
    <n v="3"/>
    <s v="low"/>
    <n v="2085"/>
    <x v="4"/>
    <s v="Gujarat"/>
  </r>
  <r>
    <s v="ORD00425"/>
    <s v="CUST00425"/>
    <s v="female"/>
    <n v="22"/>
    <s v="teen"/>
    <s v="2024-03-11"/>
    <s v="Mar"/>
    <s v="Delivered"/>
    <x v="2"/>
    <s v="Shoes"/>
    <s v="XL"/>
    <n v="1"/>
    <s v="low"/>
    <n v="2903"/>
    <x v="0"/>
    <s v="Maharashtra"/>
  </r>
  <r>
    <s v="ORD00426"/>
    <s v="CUST00426"/>
    <s v="female"/>
    <n v="55"/>
    <s v="senior"/>
    <s v="2024-10-10"/>
    <s v="Oct"/>
    <s v="Cancelled"/>
    <x v="1"/>
    <s v="Clothing"/>
    <s v="M"/>
    <n v="2"/>
    <s v="high"/>
    <n v="5212"/>
    <x v="3"/>
    <s v="Maharashtra"/>
  </r>
  <r>
    <s v="ORD00427"/>
    <s v="CUST00427"/>
    <s v="male"/>
    <n v="60"/>
    <s v="senior"/>
    <s v="2024-01-06"/>
    <s v="Jan"/>
    <s v="Returned"/>
    <x v="1"/>
    <s v="Clothing"/>
    <s v="S"/>
    <n v="2"/>
    <s v="low"/>
    <n v="2800"/>
    <x v="7"/>
    <s v="Telangana"/>
  </r>
  <r>
    <s v="ORD00428"/>
    <s v="CUST00428"/>
    <s v="female"/>
    <n v="34"/>
    <s v="adult"/>
    <s v="2024-02-29"/>
    <s v="Feb"/>
    <s v="Returned"/>
    <x v="0"/>
    <s v="Electronics"/>
    <s v="M"/>
    <n v="4"/>
    <s v="high"/>
    <n v="11072"/>
    <x v="3"/>
    <s v="Maharashtra"/>
  </r>
  <r>
    <s v="ORD00429"/>
    <s v="CUST00429"/>
    <s v="female"/>
    <n v="58"/>
    <s v="senior"/>
    <s v="2024-07-08"/>
    <s v="Jul"/>
    <s v="Delivered"/>
    <x v="2"/>
    <s v="Accessories"/>
    <s v="L"/>
    <n v="5"/>
    <s v="high"/>
    <n v="9785"/>
    <x v="0"/>
    <s v="Maharashtra"/>
  </r>
  <r>
    <s v="ORD00430"/>
    <s v="CUST00430"/>
    <s v="male"/>
    <n v="44"/>
    <s v="adult"/>
    <s v="2024-01-23"/>
    <s v="Jan"/>
    <s v="Cancelled"/>
    <x v="2"/>
    <s v="Electronics"/>
    <s v="L"/>
    <n v="4"/>
    <s v="high"/>
    <n v="4992"/>
    <x v="5"/>
    <s v="Karnataka"/>
  </r>
  <r>
    <s v="ORD00431"/>
    <s v="CUST00431"/>
    <s v="female"/>
    <n v="29"/>
    <s v="adult"/>
    <s v="2024-10-07"/>
    <s v="Oct"/>
    <s v="Delivered"/>
    <x v="2"/>
    <s v="Accessories"/>
    <s v="M"/>
    <n v="5"/>
    <s v="low"/>
    <n v="2500"/>
    <x v="7"/>
    <s v="Telangana"/>
  </r>
  <r>
    <s v="ORD00432"/>
    <s v="CUST00432"/>
    <s v="male"/>
    <n v="20"/>
    <s v="teen"/>
    <s v="2024-02-11"/>
    <s v="Feb"/>
    <s v="Cancelled"/>
    <x v="2"/>
    <s v="Shoes"/>
    <s v="L"/>
    <n v="2"/>
    <s v="low"/>
    <n v="2132"/>
    <x v="4"/>
    <s v="Gujarat"/>
  </r>
  <r>
    <s v="ORD00433"/>
    <s v="CUST00433"/>
    <s v="male"/>
    <n v="39"/>
    <s v="adult"/>
    <s v="2024-09-06"/>
    <s v="Sep"/>
    <s v="Delivered"/>
    <x v="0"/>
    <s v="Shoes"/>
    <s v="XL"/>
    <n v="5"/>
    <s v="high"/>
    <n v="11340"/>
    <x v="0"/>
    <s v="Maharashtra"/>
  </r>
  <r>
    <s v="ORD00434"/>
    <s v="CUST00434"/>
    <s v="male"/>
    <n v="42"/>
    <s v="adult"/>
    <s v="2024-07-05"/>
    <s v="Jul"/>
    <s v="Cancelled"/>
    <x v="0"/>
    <s v="Electronics"/>
    <s v="S"/>
    <n v="5"/>
    <s v="high"/>
    <n v="12750"/>
    <x v="0"/>
    <s v="Maharashtra"/>
  </r>
  <r>
    <s v="ORD00435"/>
    <s v="CUST00435"/>
    <s v="male"/>
    <n v="36"/>
    <s v="adult"/>
    <s v="2024-11-30"/>
    <s v="Nov"/>
    <s v="Delivered"/>
    <x v="1"/>
    <s v="Shoes"/>
    <s v="M"/>
    <n v="1"/>
    <s v="low"/>
    <n v="2011"/>
    <x v="0"/>
    <s v="Maharashtra"/>
  </r>
  <r>
    <s v="ORD00436"/>
    <s v="CUST00436"/>
    <s v="male"/>
    <n v="21"/>
    <s v="teen"/>
    <s v="2024-12-25"/>
    <s v="Dec"/>
    <s v="Returned"/>
    <x v="2"/>
    <s v="Clothing"/>
    <s v="S"/>
    <n v="2"/>
    <s v="high"/>
    <n v="5482"/>
    <x v="7"/>
    <s v="Telangana"/>
  </r>
  <r>
    <s v="ORD00437"/>
    <s v="CUST00437"/>
    <s v="female"/>
    <n v="57"/>
    <s v="senior"/>
    <s v="2024-11-28"/>
    <s v="Nov"/>
    <s v="Cancelled"/>
    <x v="2"/>
    <s v="Clothing"/>
    <s v="L"/>
    <n v="4"/>
    <s v="high"/>
    <n v="6944"/>
    <x v="0"/>
    <s v="Maharashtra"/>
  </r>
  <r>
    <s v="ORD00438"/>
    <s v="CUST00438"/>
    <s v="female"/>
    <n v="24"/>
    <s v="teen"/>
    <s v="2024-05-06"/>
    <s v="May"/>
    <s v="Cancelled"/>
    <x v="1"/>
    <s v="Electronics"/>
    <s v="L"/>
    <n v="1"/>
    <s v="low"/>
    <n v="1779"/>
    <x v="6"/>
    <s v="Tamil Nadu"/>
  </r>
  <r>
    <s v="ORD00439"/>
    <s v="CUST00439"/>
    <s v="male"/>
    <n v="40"/>
    <s v="adult"/>
    <s v="2024-10-12"/>
    <s v="Oct"/>
    <s v="Delivered"/>
    <x v="1"/>
    <s v="Electronics"/>
    <s v="M"/>
    <n v="5"/>
    <s v="high"/>
    <n v="3970"/>
    <x v="1"/>
    <s v="Maharashtra"/>
  </r>
  <r>
    <s v="ORD00440"/>
    <s v="CUST00440"/>
    <s v="male"/>
    <n v="39"/>
    <s v="adult"/>
    <s v="2024-01-21"/>
    <s v="Jan"/>
    <s v="Cancelled"/>
    <x v="2"/>
    <s v="Electronics"/>
    <s v="XL"/>
    <n v="3"/>
    <s v="high"/>
    <n v="7674"/>
    <x v="2"/>
    <s v="Delhi"/>
  </r>
  <r>
    <s v="ORD00441"/>
    <s v="CUST00441"/>
    <s v="male"/>
    <n v="43"/>
    <s v="adult"/>
    <s v="2024-06-03"/>
    <s v="Jun"/>
    <s v="Returned"/>
    <x v="2"/>
    <s v="Shoes"/>
    <s v="L"/>
    <n v="3"/>
    <s v="high"/>
    <n v="4782"/>
    <x v="1"/>
    <s v="Maharashtra"/>
  </r>
  <r>
    <s v="ORD00442"/>
    <s v="CUST00442"/>
    <s v="male"/>
    <n v="41"/>
    <s v="adult"/>
    <s v="2024-02-24"/>
    <s v="Feb"/>
    <s v="Cancelled"/>
    <x v="2"/>
    <s v="Clothing"/>
    <s v="XL"/>
    <n v="5"/>
    <s v="high"/>
    <n v="13960"/>
    <x v="5"/>
    <s v="Karnataka"/>
  </r>
  <r>
    <s v="ORD00443"/>
    <s v="CUST00443"/>
    <s v="male"/>
    <n v="42"/>
    <s v="adult"/>
    <s v="2024-12-21"/>
    <s v="Dec"/>
    <s v="Returned"/>
    <x v="0"/>
    <s v="Shoes"/>
    <s v="XL"/>
    <n v="1"/>
    <s v="low"/>
    <n v="755"/>
    <x v="0"/>
    <s v="Maharashtra"/>
  </r>
  <r>
    <s v="ORD00444"/>
    <s v="CUST00444"/>
    <s v="female"/>
    <n v="59"/>
    <s v="senior"/>
    <s v="2024-06-18"/>
    <s v="Jun"/>
    <s v="Delivered"/>
    <x v="0"/>
    <s v="Accessories"/>
    <s v="L"/>
    <n v="5"/>
    <s v="high"/>
    <n v="5320"/>
    <x v="4"/>
    <s v="Gujarat"/>
  </r>
  <r>
    <s v="ORD00445"/>
    <s v="CUST00445"/>
    <s v="male"/>
    <n v="51"/>
    <s v="senior"/>
    <s v="2024-11-11"/>
    <s v="Nov"/>
    <s v="Cancelled"/>
    <x v="0"/>
    <s v="Clothing"/>
    <s v="S"/>
    <n v="5"/>
    <s v="high"/>
    <n v="14085"/>
    <x v="2"/>
    <s v="Delhi"/>
  </r>
  <r>
    <s v="ORD00446"/>
    <s v="CUST00446"/>
    <s v="female"/>
    <n v="26"/>
    <s v="adult"/>
    <s v="2024-12-30"/>
    <s v="Dec"/>
    <s v="Cancelled"/>
    <x v="2"/>
    <s v="Clothing"/>
    <s v="M"/>
    <n v="5"/>
    <s v="high"/>
    <n v="8635"/>
    <x v="4"/>
    <s v="Gujarat"/>
  </r>
  <r>
    <s v="ORD00447"/>
    <s v="CUST00447"/>
    <s v="female"/>
    <n v="34"/>
    <s v="adult"/>
    <s v="2024-12-20"/>
    <s v="Dec"/>
    <s v="Delivered"/>
    <x v="0"/>
    <s v="Shoes"/>
    <s v="S"/>
    <n v="3"/>
    <s v="high"/>
    <n v="4704"/>
    <x v="4"/>
    <s v="Gujarat"/>
  </r>
  <r>
    <s v="ORD00448"/>
    <s v="CUST00448"/>
    <s v="male"/>
    <n v="38"/>
    <s v="adult"/>
    <s v="2024-10-25"/>
    <s v="Oct"/>
    <s v="Returned"/>
    <x v="1"/>
    <s v="Clothing"/>
    <s v="S"/>
    <n v="4"/>
    <s v="high"/>
    <n v="6792"/>
    <x v="5"/>
    <s v="Karnataka"/>
  </r>
  <r>
    <s v="ORD00449"/>
    <s v="CUST00449"/>
    <s v="female"/>
    <n v="47"/>
    <s v="senior"/>
    <s v="2024-04-08"/>
    <s v="Apr"/>
    <s v="Delivered"/>
    <x v="1"/>
    <s v="Accessories"/>
    <s v="XL"/>
    <n v="4"/>
    <s v="high"/>
    <n v="6308"/>
    <x v="4"/>
    <s v="Gujarat"/>
  </r>
  <r>
    <s v="ORD00450"/>
    <s v="CUST00450"/>
    <s v="female"/>
    <n v="56"/>
    <s v="senior"/>
    <s v="2024-12-26"/>
    <s v="Dec"/>
    <s v="Cancelled"/>
    <x v="2"/>
    <s v="Electronics"/>
    <s v="L"/>
    <n v="3"/>
    <s v="high"/>
    <n v="5352"/>
    <x v="3"/>
    <s v="Maharashtra"/>
  </r>
  <r>
    <s v="ORD00451"/>
    <s v="CUST00451"/>
    <s v="female"/>
    <n v="56"/>
    <s v="senior"/>
    <s v="2024-08-26"/>
    <s v="Aug"/>
    <s v="Delivered"/>
    <x v="1"/>
    <s v="Electronics"/>
    <s v="XL"/>
    <n v="2"/>
    <s v="high"/>
    <n v="3486"/>
    <x v="4"/>
    <s v="Gujarat"/>
  </r>
  <r>
    <s v="ORD00452"/>
    <s v="CUST00452"/>
    <s v="male"/>
    <n v="51"/>
    <s v="senior"/>
    <s v="2024-08-16"/>
    <s v="Aug"/>
    <s v="Returned"/>
    <x v="0"/>
    <s v="Clothing"/>
    <s v="M"/>
    <n v="2"/>
    <s v="high"/>
    <n v="3754"/>
    <x v="1"/>
    <s v="Maharashtra"/>
  </r>
  <r>
    <s v="ORD00453"/>
    <s v="CUST00453"/>
    <s v="male"/>
    <n v="22"/>
    <s v="teen"/>
    <s v="2024-12-09"/>
    <s v="Dec"/>
    <s v="Delivered"/>
    <x v="2"/>
    <s v="Accessories"/>
    <s v="L"/>
    <n v="2"/>
    <s v="high"/>
    <n v="5944"/>
    <x v="4"/>
    <s v="Gujarat"/>
  </r>
  <r>
    <s v="ORD00454"/>
    <s v="CUST00454"/>
    <s v="male"/>
    <n v="48"/>
    <s v="senior"/>
    <s v="2024-01-07"/>
    <s v="Jan"/>
    <s v="Cancelled"/>
    <x v="2"/>
    <s v="Electronics"/>
    <s v="L"/>
    <n v="3"/>
    <s v="high"/>
    <n v="5196"/>
    <x v="2"/>
    <s v="Delhi"/>
  </r>
  <r>
    <s v="ORD00455"/>
    <s v="CUST00455"/>
    <s v="male"/>
    <n v="23"/>
    <s v="teen"/>
    <s v="2024-02-14"/>
    <s v="Feb"/>
    <s v="Delivered"/>
    <x v="1"/>
    <s v="Shoes"/>
    <s v="L"/>
    <n v="4"/>
    <s v="high"/>
    <n v="11988"/>
    <x v="1"/>
    <s v="Maharashtra"/>
  </r>
  <r>
    <s v="ORD00456"/>
    <s v="CUST00456"/>
    <s v="female"/>
    <n v="60"/>
    <s v="senior"/>
    <s v="2024-06-17"/>
    <s v="Jun"/>
    <s v="Delivered"/>
    <x v="2"/>
    <s v="Clothing"/>
    <s v="L"/>
    <n v="4"/>
    <s v="low"/>
    <n v="2084"/>
    <x v="4"/>
    <s v="Gujarat"/>
  </r>
  <r>
    <s v="ORD00457"/>
    <s v="CUST00457"/>
    <s v="female"/>
    <n v="27"/>
    <s v="adult"/>
    <s v="2024-11-24"/>
    <s v="Nov"/>
    <s v="Cancelled"/>
    <x v="0"/>
    <s v="Clothing"/>
    <s v="M"/>
    <n v="4"/>
    <s v="high"/>
    <n v="9320"/>
    <x v="6"/>
    <s v="Tamil Nadu"/>
  </r>
  <r>
    <s v="ORD00458"/>
    <s v="CUST00458"/>
    <s v="male"/>
    <n v="26"/>
    <s v="adult"/>
    <s v="2024-09-22"/>
    <s v="Sep"/>
    <s v="Delivered"/>
    <x v="2"/>
    <s v="Electronics"/>
    <s v="XL"/>
    <n v="4"/>
    <s v="high"/>
    <n v="7532"/>
    <x v="4"/>
    <s v="Gujarat"/>
  </r>
  <r>
    <s v="ORD00459"/>
    <s v="CUST00459"/>
    <s v="male"/>
    <n v="21"/>
    <s v="teen"/>
    <s v="2024-08-14"/>
    <s v="Aug"/>
    <s v="Returned"/>
    <x v="1"/>
    <s v="Accessories"/>
    <s v="L"/>
    <n v="5"/>
    <s v="high"/>
    <n v="6215"/>
    <x v="1"/>
    <s v="Maharashtra"/>
  </r>
  <r>
    <s v="ORD00460"/>
    <s v="CUST00460"/>
    <s v="male"/>
    <n v="48"/>
    <s v="senior"/>
    <s v="2024-09-05"/>
    <s v="Sep"/>
    <s v="Returned"/>
    <x v="0"/>
    <s v="Clothing"/>
    <s v="S"/>
    <n v="2"/>
    <s v="high"/>
    <n v="5162"/>
    <x v="5"/>
    <s v="Karnataka"/>
  </r>
  <r>
    <s v="ORD00461"/>
    <s v="CUST00461"/>
    <s v="male"/>
    <n v="30"/>
    <s v="adult"/>
    <s v="2024-03-30"/>
    <s v="Mar"/>
    <s v="Cancelled"/>
    <x v="1"/>
    <s v="Accessories"/>
    <s v="L"/>
    <n v="3"/>
    <s v="high"/>
    <n v="7524"/>
    <x v="5"/>
    <s v="Karnataka"/>
  </r>
  <r>
    <s v="ORD00462"/>
    <s v="CUST00462"/>
    <s v="male"/>
    <n v="42"/>
    <s v="adult"/>
    <s v="2024-11-10"/>
    <s v="Nov"/>
    <s v="Returned"/>
    <x v="2"/>
    <s v="Electronics"/>
    <s v="S"/>
    <n v="4"/>
    <s v="low"/>
    <n v="2288"/>
    <x v="3"/>
    <s v="Maharashtra"/>
  </r>
  <r>
    <s v="ORD00463"/>
    <s v="CUST00463"/>
    <s v="male"/>
    <n v="45"/>
    <s v="adult"/>
    <s v="2024-08-15"/>
    <s v="Aug"/>
    <s v="Cancelled"/>
    <x v="2"/>
    <s v="Electronics"/>
    <s v="S"/>
    <n v="1"/>
    <s v="low"/>
    <n v="1822"/>
    <x v="5"/>
    <s v="Karnataka"/>
  </r>
  <r>
    <s v="ORD00464"/>
    <s v="CUST00464"/>
    <s v="male"/>
    <n v="60"/>
    <s v="senior"/>
    <s v="2024-10-13"/>
    <s v="Oct"/>
    <s v="Returned"/>
    <x v="2"/>
    <s v="Shoes"/>
    <s v="XL"/>
    <n v="4"/>
    <s v="high"/>
    <n v="6328"/>
    <x v="6"/>
    <s v="Tamil Nadu"/>
  </r>
  <r>
    <s v="ORD00465"/>
    <s v="CUST00465"/>
    <s v="female"/>
    <n v="40"/>
    <s v="adult"/>
    <s v="2024-08-26"/>
    <s v="Aug"/>
    <s v="Delivered"/>
    <x v="2"/>
    <s v="Accessories"/>
    <s v="XL"/>
    <n v="4"/>
    <s v="high"/>
    <n v="10764"/>
    <x v="6"/>
    <s v="Tamil Nadu"/>
  </r>
  <r>
    <s v="ORD00466"/>
    <s v="CUST00466"/>
    <s v="female"/>
    <n v="23"/>
    <s v="teen"/>
    <s v="2024-05-27"/>
    <s v="May"/>
    <s v="Delivered"/>
    <x v="1"/>
    <s v="Electronics"/>
    <s v="S"/>
    <n v="1"/>
    <s v="low"/>
    <n v="2220"/>
    <x v="6"/>
    <s v="Tamil Nadu"/>
  </r>
  <r>
    <s v="ORD00467"/>
    <s v="CUST00467"/>
    <s v="female"/>
    <n v="22"/>
    <s v="teen"/>
    <s v="2024-08-23"/>
    <s v="Aug"/>
    <s v="Delivered"/>
    <x v="1"/>
    <s v="Electronics"/>
    <s v="M"/>
    <n v="1"/>
    <s v="low"/>
    <n v="634"/>
    <x v="5"/>
    <s v="Karnataka"/>
  </r>
  <r>
    <s v="ORD00468"/>
    <s v="CUST00468"/>
    <s v="female"/>
    <n v="23"/>
    <s v="teen"/>
    <s v="2024-02-09"/>
    <s v="Feb"/>
    <s v="Delivered"/>
    <x v="1"/>
    <s v="Shoes"/>
    <s v="S"/>
    <n v="2"/>
    <s v="high"/>
    <n v="4462"/>
    <x v="7"/>
    <s v="Telangana"/>
  </r>
  <r>
    <s v="ORD00469"/>
    <s v="CUST00469"/>
    <s v="female"/>
    <n v="24"/>
    <s v="teen"/>
    <s v="2024-08-04"/>
    <s v="Aug"/>
    <s v="Cancelled"/>
    <x v="1"/>
    <s v="Clothing"/>
    <s v="S"/>
    <n v="1"/>
    <s v="low"/>
    <n v="2124"/>
    <x v="4"/>
    <s v="Gujarat"/>
  </r>
  <r>
    <s v="ORD00470"/>
    <s v="CUST00470"/>
    <s v="male"/>
    <n v="50"/>
    <s v="senior"/>
    <s v="2024-04-19"/>
    <s v="Apr"/>
    <s v="Cancelled"/>
    <x v="0"/>
    <s v="Shoes"/>
    <s v="XL"/>
    <n v="4"/>
    <s v="high"/>
    <n v="9308"/>
    <x v="6"/>
    <s v="Tamil Nadu"/>
  </r>
  <r>
    <s v="ORD00471"/>
    <s v="CUST00471"/>
    <s v="male"/>
    <n v="26"/>
    <s v="adult"/>
    <s v="2024-11-09"/>
    <s v="Nov"/>
    <s v="Returned"/>
    <x v="0"/>
    <s v="Shoes"/>
    <s v="XL"/>
    <n v="4"/>
    <s v="high"/>
    <n v="11344"/>
    <x v="6"/>
    <s v="Tamil Nadu"/>
  </r>
  <r>
    <s v="ORD00472"/>
    <s v="CUST00472"/>
    <s v="male"/>
    <n v="47"/>
    <s v="senior"/>
    <s v="2024-09-17"/>
    <s v="Sep"/>
    <s v="Returned"/>
    <x v="2"/>
    <s v="Shoes"/>
    <s v="L"/>
    <n v="5"/>
    <s v="high"/>
    <n v="10270"/>
    <x v="4"/>
    <s v="Gujarat"/>
  </r>
  <r>
    <s v="ORD00473"/>
    <s v="CUST00473"/>
    <s v="female"/>
    <n v="28"/>
    <s v="adult"/>
    <s v="2024-02-28"/>
    <s v="Feb"/>
    <s v="Delivered"/>
    <x v="0"/>
    <s v="Accessories"/>
    <s v="S"/>
    <n v="4"/>
    <s v="high"/>
    <n v="10844"/>
    <x v="5"/>
    <s v="Karnataka"/>
  </r>
  <r>
    <s v="ORD00474"/>
    <s v="CUST00474"/>
    <s v="female"/>
    <n v="41"/>
    <s v="adult"/>
    <s v="2024-04-11"/>
    <s v="Apr"/>
    <s v="Delivered"/>
    <x v="2"/>
    <s v="Clothing"/>
    <s v="S"/>
    <n v="5"/>
    <s v="high"/>
    <n v="13515"/>
    <x v="7"/>
    <s v="Telangana"/>
  </r>
  <r>
    <s v="ORD00475"/>
    <s v="CUST00475"/>
    <s v="male"/>
    <n v="55"/>
    <s v="senior"/>
    <s v="2024-02-01"/>
    <s v="Feb"/>
    <s v="Cancelled"/>
    <x v="2"/>
    <s v="Shoes"/>
    <s v="XL"/>
    <n v="4"/>
    <s v="high"/>
    <n v="11896"/>
    <x v="2"/>
    <s v="Delhi"/>
  </r>
  <r>
    <s v="ORD00476"/>
    <s v="CUST00476"/>
    <s v="male"/>
    <n v="31"/>
    <s v="adult"/>
    <s v="2024-11-12"/>
    <s v="Nov"/>
    <s v="Cancelled"/>
    <x v="0"/>
    <s v="Electronics"/>
    <s v="L"/>
    <n v="4"/>
    <s v="high"/>
    <n v="3352"/>
    <x v="0"/>
    <s v="Maharashtra"/>
  </r>
  <r>
    <s v="ORD00477"/>
    <s v="CUST00477"/>
    <s v="male"/>
    <n v="46"/>
    <s v="senior"/>
    <s v="2024-06-24"/>
    <s v="Jun"/>
    <s v="Returned"/>
    <x v="2"/>
    <s v="Accessories"/>
    <s v="S"/>
    <n v="3"/>
    <s v="high"/>
    <n v="6987"/>
    <x v="7"/>
    <s v="Telangana"/>
  </r>
  <r>
    <s v="ORD00478"/>
    <s v="CUST00478"/>
    <s v="female"/>
    <n v="31"/>
    <s v="adult"/>
    <s v="2024-04-06"/>
    <s v="Apr"/>
    <s v="Returned"/>
    <x v="1"/>
    <s v="Clothing"/>
    <s v="L"/>
    <n v="1"/>
    <s v="low"/>
    <n v="877"/>
    <x v="4"/>
    <s v="Gujarat"/>
  </r>
  <r>
    <s v="ORD00479"/>
    <s v="CUST00479"/>
    <s v="female"/>
    <n v="18"/>
    <s v="teen"/>
    <s v="2024-06-24"/>
    <s v="Jun"/>
    <s v="Cancelled"/>
    <x v="2"/>
    <s v="Clothing"/>
    <s v="XL"/>
    <n v="4"/>
    <s v="high"/>
    <n v="10288"/>
    <x v="3"/>
    <s v="Maharashtra"/>
  </r>
  <r>
    <s v="ORD00480"/>
    <s v="CUST00480"/>
    <s v="female"/>
    <n v="41"/>
    <s v="adult"/>
    <s v="2024-07-24"/>
    <s v="Jul"/>
    <s v="Delivered"/>
    <x v="0"/>
    <s v="Shoes"/>
    <s v="L"/>
    <n v="4"/>
    <s v="high"/>
    <n v="6276"/>
    <x v="5"/>
    <s v="Karnataka"/>
  </r>
  <r>
    <s v="ORD00481"/>
    <s v="CUST00481"/>
    <s v="male"/>
    <n v="48"/>
    <s v="senior"/>
    <s v="2024-11-07"/>
    <s v="Nov"/>
    <s v="Returned"/>
    <x v="0"/>
    <s v="Accessories"/>
    <s v="M"/>
    <n v="3"/>
    <s v="low"/>
    <n v="2568"/>
    <x v="2"/>
    <s v="Delhi"/>
  </r>
  <r>
    <s v="ORD00482"/>
    <s v="CUST00482"/>
    <s v="male"/>
    <n v="46"/>
    <s v="senior"/>
    <s v="2024-07-28"/>
    <s v="Jul"/>
    <s v="Returned"/>
    <x v="1"/>
    <s v="Electronics"/>
    <s v="M"/>
    <n v="3"/>
    <s v="high"/>
    <n v="4602"/>
    <x v="4"/>
    <s v="Gujarat"/>
  </r>
  <r>
    <s v="ORD00483"/>
    <s v="CUST00483"/>
    <s v="male"/>
    <n v="50"/>
    <s v="senior"/>
    <s v="2024-11-13"/>
    <s v="Nov"/>
    <s v="Returned"/>
    <x v="2"/>
    <s v="Shoes"/>
    <s v="L"/>
    <n v="5"/>
    <s v="high"/>
    <n v="9455"/>
    <x v="1"/>
    <s v="Maharashtra"/>
  </r>
  <r>
    <s v="ORD00484"/>
    <s v="CUST00484"/>
    <s v="female"/>
    <n v="37"/>
    <s v="adult"/>
    <s v="2024-03-07"/>
    <s v="Mar"/>
    <s v="Delivered"/>
    <x v="0"/>
    <s v="Shoes"/>
    <s v="S"/>
    <n v="4"/>
    <s v="high"/>
    <n v="6452"/>
    <x v="5"/>
    <s v="Karnataka"/>
  </r>
  <r>
    <s v="ORD00485"/>
    <s v="CUST00485"/>
    <s v="female"/>
    <n v="41"/>
    <s v="adult"/>
    <s v="2024-05-13"/>
    <s v="May"/>
    <s v="Delivered"/>
    <x v="0"/>
    <s v="Shoes"/>
    <s v="M"/>
    <n v="2"/>
    <s v="low"/>
    <n v="1150"/>
    <x v="1"/>
    <s v="Maharashtra"/>
  </r>
  <r>
    <s v="ORD00486"/>
    <s v="CUST00486"/>
    <s v="female"/>
    <n v="18"/>
    <s v="teen"/>
    <s v="2024-09-09"/>
    <s v="Sep"/>
    <s v="Delivered"/>
    <x v="2"/>
    <s v="Accessories"/>
    <s v="M"/>
    <n v="2"/>
    <s v="low"/>
    <n v="1092"/>
    <x v="2"/>
    <s v="Delhi"/>
  </r>
  <r>
    <s v="ORD00487"/>
    <s v="CUST00487"/>
    <s v="female"/>
    <n v="38"/>
    <s v="adult"/>
    <s v="2024-09-11"/>
    <s v="Sep"/>
    <s v="Cancelled"/>
    <x v="2"/>
    <s v="Accessories"/>
    <s v="S"/>
    <n v="4"/>
    <s v="low"/>
    <n v="2240"/>
    <x v="5"/>
    <s v="Karnataka"/>
  </r>
  <r>
    <s v="ORD00488"/>
    <s v="CUST00488"/>
    <s v="female"/>
    <n v="31"/>
    <s v="adult"/>
    <s v="2024-07-17"/>
    <s v="Jul"/>
    <s v="Returned"/>
    <x v="2"/>
    <s v="Shoes"/>
    <s v="M"/>
    <n v="5"/>
    <s v="high"/>
    <n v="9490"/>
    <x v="7"/>
    <s v="Telangana"/>
  </r>
  <r>
    <s v="ORD00489"/>
    <s v="CUST00489"/>
    <s v="female"/>
    <n v="45"/>
    <s v="adult"/>
    <s v="2024-10-25"/>
    <s v="Oct"/>
    <s v="Returned"/>
    <x v="1"/>
    <s v="Clothing"/>
    <s v="L"/>
    <n v="2"/>
    <s v="low"/>
    <n v="2894"/>
    <x v="4"/>
    <s v="Gujarat"/>
  </r>
  <r>
    <s v="ORD00490"/>
    <s v="CUST00490"/>
    <s v="female"/>
    <n v="41"/>
    <s v="adult"/>
    <s v="2024-09-15"/>
    <s v="Sep"/>
    <s v="Returned"/>
    <x v="0"/>
    <s v="Shoes"/>
    <s v="XL"/>
    <n v="2"/>
    <s v="high"/>
    <n v="3510"/>
    <x v="2"/>
    <s v="Delhi"/>
  </r>
  <r>
    <s v="ORD00491"/>
    <s v="CUST00491"/>
    <s v="male"/>
    <n v="40"/>
    <s v="adult"/>
    <s v="2024-03-09"/>
    <s v="Mar"/>
    <s v="Cancelled"/>
    <x v="1"/>
    <s v="Accessories"/>
    <s v="XL"/>
    <n v="2"/>
    <s v="high"/>
    <n v="4238"/>
    <x v="6"/>
    <s v="Tamil Nadu"/>
  </r>
  <r>
    <s v="ORD00492"/>
    <s v="CUST00492"/>
    <s v="female"/>
    <n v="20"/>
    <s v="teen"/>
    <s v="2024-03-26"/>
    <s v="Mar"/>
    <s v="Delivered"/>
    <x v="0"/>
    <s v="Shoes"/>
    <s v="L"/>
    <n v="3"/>
    <s v="high"/>
    <n v="6951"/>
    <x v="0"/>
    <s v="Maharashtra"/>
  </r>
  <r>
    <s v="ORD00493"/>
    <s v="CUST00493"/>
    <s v="male"/>
    <n v="37"/>
    <s v="adult"/>
    <s v="2024-02-07"/>
    <s v="Feb"/>
    <s v="Delivered"/>
    <x v="2"/>
    <s v="Clothing"/>
    <s v="XL"/>
    <n v="4"/>
    <s v="low"/>
    <n v="2956"/>
    <x v="3"/>
    <s v="Maharashtra"/>
  </r>
  <r>
    <s v="ORD00494"/>
    <s v="CUST00494"/>
    <s v="female"/>
    <n v="22"/>
    <s v="teen"/>
    <s v="2024-05-19"/>
    <s v="May"/>
    <s v="Delivered"/>
    <x v="0"/>
    <s v="Accessories"/>
    <s v="M"/>
    <n v="5"/>
    <s v="high"/>
    <n v="11145"/>
    <x v="0"/>
    <s v="Maharashtra"/>
  </r>
  <r>
    <s v="ORD00495"/>
    <s v="CUST00495"/>
    <s v="male"/>
    <n v="30"/>
    <s v="adult"/>
    <s v="2024-04-04"/>
    <s v="Apr"/>
    <s v="Delivered"/>
    <x v="1"/>
    <s v="Clothing"/>
    <s v="L"/>
    <n v="3"/>
    <s v="high"/>
    <n v="5046"/>
    <x v="7"/>
    <s v="Telangana"/>
  </r>
  <r>
    <s v="ORD00496"/>
    <s v="CUST00496"/>
    <s v="female"/>
    <n v="52"/>
    <s v="senior"/>
    <s v="2024-10-07"/>
    <s v="Oct"/>
    <s v="Returned"/>
    <x v="0"/>
    <s v="Clothing"/>
    <s v="M"/>
    <n v="3"/>
    <s v="high"/>
    <n v="5481"/>
    <x v="0"/>
    <s v="Maharashtra"/>
  </r>
  <r>
    <s v="ORD00497"/>
    <s v="CUST00497"/>
    <s v="male"/>
    <n v="21"/>
    <s v="teen"/>
    <s v="2024-02-21"/>
    <s v="Feb"/>
    <s v="Returned"/>
    <x v="0"/>
    <s v="Shoes"/>
    <s v="M"/>
    <n v="3"/>
    <s v="high"/>
    <n v="3108"/>
    <x v="0"/>
    <s v="Maharashtra"/>
  </r>
  <r>
    <s v="ORD00498"/>
    <s v="CUST00498"/>
    <s v="male"/>
    <n v="60"/>
    <s v="senior"/>
    <s v="2024-05-09"/>
    <s v="May"/>
    <s v="Cancelled"/>
    <x v="1"/>
    <s v="Clothing"/>
    <s v="L"/>
    <n v="2"/>
    <s v="low"/>
    <n v="2486"/>
    <x v="6"/>
    <s v="Tamil Nadu"/>
  </r>
  <r>
    <s v="ORD00499"/>
    <s v="CUST00499"/>
    <s v="male"/>
    <n v="50"/>
    <s v="senior"/>
    <s v="2024-02-05"/>
    <s v="Feb"/>
    <s v="Delivered"/>
    <x v="0"/>
    <s v="Electronics"/>
    <s v="XL"/>
    <n v="4"/>
    <s v="high"/>
    <n v="6532"/>
    <x v="2"/>
    <s v="Delhi"/>
  </r>
  <r>
    <s v="ORD00500"/>
    <s v="CUST00500"/>
    <s v="male"/>
    <n v="27"/>
    <s v="adult"/>
    <s v="2024-03-08"/>
    <s v="Mar"/>
    <s v="Delivered"/>
    <x v="2"/>
    <s v="Shoes"/>
    <s v="XL"/>
    <n v="5"/>
    <s v="high"/>
    <n v="10095"/>
    <x v="0"/>
    <s v="Maharasht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A3:B6" firstHeaderRow="1" firstDataRow="1" firstDataCol="1"/>
  <pivotFields count="17">
    <pivotField showAll="0"/>
    <pivotField showAll="0"/>
    <pivotField showAll="0"/>
    <pivotField axis="axisRow" showAll="0">
      <items count="3">
        <item x="0"/>
        <item x="1"/>
        <item t="default"/>
      </items>
    </pivotField>
    <pivotField showAll="0"/>
    <pivotField dataField="1" showAll="0">
      <items count="4">
        <item h="1" x="1"/>
        <item x="2"/>
        <item h="1" x="0"/>
        <item t="default"/>
      </items>
    </pivotField>
    <pivotField showAll="0"/>
    <pivotField showAll="0">
      <items count="13">
        <item h="1" x="10"/>
        <item h="1" x="1"/>
        <item h="1" x="11"/>
        <item x="0"/>
        <item h="1" x="9"/>
        <item h="1" x="8"/>
        <item h="1" x="6"/>
        <item h="1" x="2"/>
        <item h="1" x="3"/>
        <item h="1" x="5"/>
        <item h="1" x="7"/>
        <item h="1" x="4"/>
        <item t="default"/>
      </items>
    </pivotField>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Agewise" fld="5" subtotal="count" baseField="0" baseItem="0"/>
  </dataFields>
  <chartFormats count="9">
    <chartFormat chart="1"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3" count="1" selected="0">
            <x v="0"/>
          </reference>
        </references>
      </pivotArea>
    </chartFormat>
    <chartFormat chart="8" format="6">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0"/>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3" count="1" selected="0">
            <x v="0"/>
          </reference>
        </references>
      </pivotArea>
    </chartFormat>
    <chartFormat chart="17" format="10">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A3:B7" firstHeaderRow="1" firstDataRow="1" firstDataCol="1"/>
  <pivotFields count="16">
    <pivotField dataField="1"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items count="9">
        <item x="4"/>
        <item x="5"/>
        <item x="6"/>
        <item x="2"/>
        <item x="7"/>
        <item x="1"/>
        <item x="0"/>
        <item x="3"/>
        <item t="default"/>
      </items>
    </pivotField>
    <pivotField showAll="0"/>
  </pivotFields>
  <rowFields count="1">
    <field x="8"/>
  </rowFields>
  <rowItems count="4">
    <i>
      <x/>
    </i>
    <i>
      <x v="1"/>
    </i>
    <i>
      <x v="2"/>
    </i>
    <i t="grand">
      <x/>
    </i>
  </rowItems>
  <colItems count="1">
    <i/>
  </colItems>
  <dataFields count="1">
    <dataField name="Count of OrderID" fld="0" subtotal="count" baseField="0" baseItem="0"/>
  </dataFields>
  <chartFormats count="3">
    <chartFormat chart="13" format="6"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16" firstHeaderRow="1" firstDataRow="1" firstDataCol="1"/>
  <pivotFields count="17">
    <pivotField showAll="0"/>
    <pivotField dataField="1" showAll="0"/>
    <pivotField showAll="0"/>
    <pivotField showAll="0"/>
    <pivotField showAll="0"/>
    <pivotField showAll="0"/>
    <pivotField showAll="0"/>
    <pivotField axis="axisRow" showAll="0">
      <items count="13">
        <item x="10"/>
        <item x="1"/>
        <item x="11"/>
        <item x="0"/>
        <item x="9"/>
        <item x="8"/>
        <item x="6"/>
        <item x="2"/>
        <item x="3"/>
        <item x="5"/>
        <item x="7"/>
        <item x="4"/>
        <item t="default"/>
      </items>
    </pivotField>
    <pivotField showAll="0"/>
    <pivotField showAll="0"/>
    <pivotField showAll="0"/>
    <pivotField showAll="0"/>
    <pivotField showAll="0"/>
    <pivotField showAll="0"/>
    <pivotField showAll="0"/>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Count of OrderID" fld="1"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12" firstHeaderRow="1" firstDataRow="1" firstDataCol="1"/>
  <pivotFields count="17">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9">
        <item x="4"/>
        <item x="5"/>
        <item x="6"/>
        <item x="2"/>
        <item x="7"/>
        <item x="1"/>
        <item x="0"/>
        <item x="3"/>
        <item t="default"/>
      </items>
      <autoSortScope>
        <pivotArea dataOnly="0" outline="0" fieldPosition="0">
          <references count="1">
            <reference field="4294967294" count="1" selected="0">
              <x v="0"/>
            </reference>
          </references>
        </pivotArea>
      </autoSortScope>
    </pivotField>
    <pivotField showAll="0"/>
  </pivotFields>
  <rowFields count="1">
    <field x="15"/>
  </rowFields>
  <rowItems count="9">
    <i>
      <x v="5"/>
    </i>
    <i>
      <x v="1"/>
    </i>
    <i>
      <x/>
    </i>
    <i>
      <x v="6"/>
    </i>
    <i>
      <x v="7"/>
    </i>
    <i>
      <x v="4"/>
    </i>
    <i>
      <x v="2"/>
    </i>
    <i>
      <x v="3"/>
    </i>
    <i t="grand">
      <x/>
    </i>
  </rowItems>
  <colItems count="1">
    <i/>
  </colItems>
  <dataFields count="1">
    <dataField name="Count of OrderI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_wise" sourceName="month wise">
  <pivotTables>
    <pivotTable tabId="11" name="PivotTable1"/>
  </pivotTables>
  <data>
    <tabular pivotCacheId="1">
      <items count="12">
        <i x="10" s="1"/>
        <i x="1" s="1"/>
        <i x="11" s="1"/>
        <i x="0" s="1"/>
        <i x="9" s="1"/>
        <i x="8" s="1"/>
        <i x="6" s="1"/>
        <i x="2" s="1"/>
        <i x="3" s="1"/>
        <i x="5" s="1"/>
        <i x="7"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hip_City" sourceName="Ship-City">
  <pivotTables>
    <pivotTable tabId="12" name="PivotTable2"/>
  </pivotTables>
  <data>
    <tabular pivotCacheId="1">
      <items count="8">
        <i x="4" s="1"/>
        <i x="5" s="1"/>
        <i x="6" s="1"/>
        <i x="2" s="1"/>
        <i x="7"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wise" cache="Slicer_month_wise" caption="month wise" rowHeight="241300"/>
  <slicer name="Ship-City" cache="Slicer_Ship_City" caption="Ship-Cit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C15" sqref="C15"/>
    </sheetView>
  </sheetViews>
  <sheetFormatPr defaultRowHeight="14.5" x14ac:dyDescent="0.35"/>
  <cols>
    <col min="1" max="1" width="12.36328125" bestFit="1" customWidth="1"/>
    <col min="2" max="2" width="15.453125" bestFit="1" customWidth="1"/>
  </cols>
  <sheetData>
    <row r="3" spans="1:2" x14ac:dyDescent="0.35">
      <c r="A3" s="2" t="s">
        <v>1318</v>
      </c>
      <c r="B3" t="s">
        <v>1321</v>
      </c>
    </row>
    <row r="4" spans="1:2" x14ac:dyDescent="0.35">
      <c r="A4" s="3" t="s">
        <v>1315</v>
      </c>
      <c r="B4" s="1">
        <v>252</v>
      </c>
    </row>
    <row r="5" spans="1:2" x14ac:dyDescent="0.35">
      <c r="A5" s="3" t="s">
        <v>1316</v>
      </c>
      <c r="B5" s="1">
        <v>248</v>
      </c>
    </row>
    <row r="6" spans="1:2" x14ac:dyDescent="0.35">
      <c r="A6" s="3" t="s">
        <v>1319</v>
      </c>
      <c r="B6" s="1">
        <v>500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14"/>
  <sheetViews>
    <sheetView topLeftCell="A2" workbookViewId="0">
      <selection activeCell="H5" sqref="H5"/>
    </sheetView>
  </sheetViews>
  <sheetFormatPr defaultRowHeight="14.5" x14ac:dyDescent="0.35"/>
  <cols>
    <col min="1" max="1" width="12.36328125" customWidth="1"/>
    <col min="2" max="2" width="15.36328125" customWidth="1"/>
    <col min="3" max="3" width="16" bestFit="1" customWidth="1"/>
  </cols>
  <sheetData>
    <row r="3" spans="1:13" x14ac:dyDescent="0.35">
      <c r="A3" s="2" t="s">
        <v>1318</v>
      </c>
      <c r="B3" t="s">
        <v>1334</v>
      </c>
    </row>
    <row r="4" spans="1:13" x14ac:dyDescent="0.35">
      <c r="A4" s="3" t="s">
        <v>18</v>
      </c>
      <c r="B4" s="1">
        <v>171</v>
      </c>
    </row>
    <row r="5" spans="1:13" x14ac:dyDescent="0.35">
      <c r="A5" s="3" t="s">
        <v>56</v>
      </c>
      <c r="B5" s="1">
        <v>170</v>
      </c>
    </row>
    <row r="6" spans="1:13" x14ac:dyDescent="0.35">
      <c r="A6" s="3" t="s">
        <v>37</v>
      </c>
      <c r="B6" s="1">
        <v>159</v>
      </c>
    </row>
    <row r="7" spans="1:13" x14ac:dyDescent="0.35">
      <c r="A7" s="3" t="s">
        <v>1319</v>
      </c>
      <c r="B7" s="1">
        <v>500</v>
      </c>
    </row>
    <row r="14" spans="1:13" x14ac:dyDescent="0.35">
      <c r="M14" t="s">
        <v>1336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
  <sheetViews>
    <sheetView showGridLines="0" tabSelected="1" topLeftCell="B1" zoomScaleNormal="100" workbookViewId="0">
      <selection activeCell="W10" sqref="W10"/>
    </sheetView>
  </sheetViews>
  <sheetFormatPr defaultRowHeight="14.5" x14ac:dyDescent="0.35"/>
  <sheetData>
    <row r="1" spans="1:30" ht="14.5" customHeight="1" x14ac:dyDescent="0.35">
      <c r="A1" s="5" t="s">
        <v>1335</v>
      </c>
      <c r="B1" s="6"/>
      <c r="C1" s="6"/>
      <c r="D1" s="6"/>
      <c r="E1" s="6"/>
      <c r="F1" s="6"/>
      <c r="G1" s="6"/>
      <c r="H1" s="6"/>
      <c r="I1" s="6"/>
      <c r="J1" s="6"/>
      <c r="K1" s="6"/>
      <c r="L1" s="6"/>
      <c r="M1" s="6"/>
      <c r="N1" s="6"/>
      <c r="O1" s="6"/>
      <c r="P1" s="6"/>
      <c r="Q1" s="6"/>
      <c r="R1" s="6"/>
      <c r="S1" s="6"/>
      <c r="T1" s="6"/>
      <c r="U1" s="6"/>
      <c r="V1" s="6"/>
      <c r="W1" s="6"/>
      <c r="X1" s="6"/>
      <c r="Y1" s="6"/>
      <c r="Z1" s="6"/>
      <c r="AA1" s="6"/>
      <c r="AB1" s="6"/>
      <c r="AC1" s="6"/>
      <c r="AD1" s="6"/>
    </row>
    <row r="2" spans="1:30" ht="61.5" customHeight="1" x14ac:dyDescent="0.35">
      <c r="A2" s="6"/>
      <c r="B2" s="6"/>
      <c r="C2" s="6"/>
      <c r="D2" s="6"/>
      <c r="E2" s="6"/>
      <c r="F2" s="6"/>
      <c r="G2" s="6"/>
      <c r="H2" s="6"/>
      <c r="I2" s="6"/>
      <c r="J2" s="6"/>
      <c r="K2" s="6"/>
      <c r="L2" s="6"/>
      <c r="M2" s="6"/>
      <c r="N2" s="6"/>
      <c r="O2" s="6"/>
      <c r="P2" s="6"/>
      <c r="Q2" s="6"/>
      <c r="R2" s="6"/>
      <c r="S2" s="6"/>
      <c r="T2" s="6"/>
      <c r="U2" s="6"/>
      <c r="V2" s="6"/>
      <c r="W2" s="6"/>
      <c r="X2" s="6"/>
      <c r="Y2" s="6"/>
      <c r="Z2" s="6"/>
      <c r="AA2" s="6"/>
      <c r="AB2" s="6"/>
      <c r="AC2" s="6"/>
      <c r="AD2" s="6"/>
    </row>
    <row r="3" spans="1:30" x14ac:dyDescent="0.35">
      <c r="A3" s="4"/>
      <c r="B3" s="4"/>
      <c r="C3" s="4"/>
      <c r="D3" s="4"/>
      <c r="E3" s="4"/>
      <c r="F3" s="4"/>
      <c r="G3" s="4"/>
      <c r="H3" s="4"/>
      <c r="I3" s="4"/>
      <c r="J3" s="4"/>
      <c r="K3" s="4"/>
      <c r="L3" s="4"/>
      <c r="M3" s="4"/>
      <c r="N3" s="4"/>
      <c r="O3" s="4"/>
      <c r="P3" s="4"/>
      <c r="Q3" s="4"/>
      <c r="R3" s="4"/>
      <c r="S3" s="4"/>
      <c r="T3" s="4"/>
      <c r="U3" s="4"/>
      <c r="V3" s="4"/>
      <c r="W3" s="4"/>
      <c r="X3" s="4"/>
      <c r="Y3" s="4"/>
      <c r="Z3" s="4"/>
    </row>
  </sheetData>
  <mergeCells count="2">
    <mergeCell ref="A1:O2"/>
    <mergeCell ref="P1:AD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C19" sqref="C19"/>
    </sheetView>
  </sheetViews>
  <sheetFormatPr defaultRowHeight="14.5" x14ac:dyDescent="0.35"/>
  <cols>
    <col min="1" max="1" width="12.36328125" bestFit="1" customWidth="1"/>
    <col min="2" max="2" width="15.36328125" bestFit="1" customWidth="1"/>
  </cols>
  <sheetData>
    <row r="3" spans="1:2" x14ac:dyDescent="0.35">
      <c r="A3" s="2" t="s">
        <v>1318</v>
      </c>
      <c r="B3" t="s">
        <v>1334</v>
      </c>
    </row>
    <row r="4" spans="1:2" x14ac:dyDescent="0.35">
      <c r="A4" s="3" t="s">
        <v>1322</v>
      </c>
      <c r="B4" s="1">
        <v>38</v>
      </c>
    </row>
    <row r="5" spans="1:2" x14ac:dyDescent="0.35">
      <c r="A5" s="3" t="s">
        <v>1323</v>
      </c>
      <c r="B5" s="1">
        <v>43</v>
      </c>
    </row>
    <row r="6" spans="1:2" x14ac:dyDescent="0.35">
      <c r="A6" s="3" t="s">
        <v>1324</v>
      </c>
      <c r="B6" s="1">
        <v>41</v>
      </c>
    </row>
    <row r="7" spans="1:2" x14ac:dyDescent="0.35">
      <c r="A7" s="3" t="s">
        <v>1325</v>
      </c>
      <c r="B7" s="1">
        <v>47</v>
      </c>
    </row>
    <row r="8" spans="1:2" x14ac:dyDescent="0.35">
      <c r="A8" s="3" t="s">
        <v>1326</v>
      </c>
      <c r="B8" s="1">
        <v>45</v>
      </c>
    </row>
    <row r="9" spans="1:2" x14ac:dyDescent="0.35">
      <c r="A9" s="3" t="s">
        <v>1327</v>
      </c>
      <c r="B9" s="1">
        <v>30</v>
      </c>
    </row>
    <row r="10" spans="1:2" x14ac:dyDescent="0.35">
      <c r="A10" s="3" t="s">
        <v>1328</v>
      </c>
      <c r="B10" s="1">
        <v>42</v>
      </c>
    </row>
    <row r="11" spans="1:2" x14ac:dyDescent="0.35">
      <c r="A11" s="3" t="s">
        <v>1329</v>
      </c>
      <c r="B11" s="1">
        <v>53</v>
      </c>
    </row>
    <row r="12" spans="1:2" x14ac:dyDescent="0.35">
      <c r="A12" s="3" t="s">
        <v>1330</v>
      </c>
      <c r="B12" s="1">
        <v>34</v>
      </c>
    </row>
    <row r="13" spans="1:2" x14ac:dyDescent="0.35">
      <c r="A13" s="3" t="s">
        <v>1331</v>
      </c>
      <c r="B13" s="1">
        <v>42</v>
      </c>
    </row>
    <row r="14" spans="1:2" x14ac:dyDescent="0.35">
      <c r="A14" s="3" t="s">
        <v>1332</v>
      </c>
      <c r="B14" s="1">
        <v>49</v>
      </c>
    </row>
    <row r="15" spans="1:2" x14ac:dyDescent="0.35">
      <c r="A15" s="3" t="s">
        <v>1333</v>
      </c>
      <c r="B15" s="1">
        <v>36</v>
      </c>
    </row>
    <row r="16" spans="1:2" x14ac:dyDescent="0.35">
      <c r="A16" s="3" t="s">
        <v>1319</v>
      </c>
      <c r="B16" s="1">
        <v>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L6" sqref="L6"/>
    </sheetView>
  </sheetViews>
  <sheetFormatPr defaultRowHeight="14.5" x14ac:dyDescent="0.35"/>
  <cols>
    <col min="1" max="1" width="12.36328125" bestFit="1" customWidth="1"/>
    <col min="2" max="2" width="15.36328125" bestFit="1" customWidth="1"/>
  </cols>
  <sheetData>
    <row r="3" spans="1:2" x14ac:dyDescent="0.35">
      <c r="A3" s="2" t="s">
        <v>1318</v>
      </c>
      <c r="B3" t="s">
        <v>1334</v>
      </c>
    </row>
    <row r="4" spans="1:2" x14ac:dyDescent="0.35">
      <c r="A4" s="3" t="s">
        <v>27</v>
      </c>
      <c r="B4" s="1">
        <v>69</v>
      </c>
    </row>
    <row r="5" spans="1:2" x14ac:dyDescent="0.35">
      <c r="A5" s="3" t="s">
        <v>57</v>
      </c>
      <c r="B5" s="1">
        <v>68</v>
      </c>
    </row>
    <row r="6" spans="1:2" x14ac:dyDescent="0.35">
      <c r="A6" s="3" t="s">
        <v>44</v>
      </c>
      <c r="B6" s="1">
        <v>67</v>
      </c>
    </row>
    <row r="7" spans="1:2" x14ac:dyDescent="0.35">
      <c r="A7" s="3" t="s">
        <v>21</v>
      </c>
      <c r="B7" s="1">
        <v>66</v>
      </c>
    </row>
    <row r="8" spans="1:2" x14ac:dyDescent="0.35">
      <c r="A8" s="3" t="s">
        <v>40</v>
      </c>
      <c r="B8" s="1">
        <v>59</v>
      </c>
    </row>
    <row r="9" spans="1:2" x14ac:dyDescent="0.35">
      <c r="A9" s="3" t="s">
        <v>99</v>
      </c>
      <c r="B9" s="1">
        <v>58</v>
      </c>
    </row>
    <row r="10" spans="1:2" x14ac:dyDescent="0.35">
      <c r="A10" s="3" t="s">
        <v>79</v>
      </c>
      <c r="B10" s="1">
        <v>57</v>
      </c>
    </row>
    <row r="11" spans="1:2" x14ac:dyDescent="0.35">
      <c r="A11" s="3" t="s">
        <v>33</v>
      </c>
      <c r="B11" s="1">
        <v>56</v>
      </c>
    </row>
    <row r="12" spans="1:2" x14ac:dyDescent="0.35">
      <c r="A12" s="3" t="s">
        <v>1319</v>
      </c>
      <c r="B12" s="1">
        <v>500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1"/>
  <sheetViews>
    <sheetView workbookViewId="0"/>
  </sheetViews>
  <sheetFormatPr defaultRowHeight="14.5" x14ac:dyDescent="0.35"/>
  <cols>
    <col min="3" max="3" width="10.81640625" customWidth="1"/>
  </cols>
  <sheetData>
    <row r="1" spans="1:17" x14ac:dyDescent="0.35">
      <c r="A1" t="s">
        <v>0</v>
      </c>
      <c r="B1" t="s">
        <v>1</v>
      </c>
      <c r="C1" t="s">
        <v>2</v>
      </c>
      <c r="D1" t="s">
        <v>3</v>
      </c>
      <c r="E1" t="s">
        <v>4</v>
      </c>
      <c r="F1" t="s">
        <v>1320</v>
      </c>
      <c r="G1" t="s">
        <v>5</v>
      </c>
      <c r="H1" t="s">
        <v>1317</v>
      </c>
      <c r="I1" t="s">
        <v>6</v>
      </c>
      <c r="J1" t="s">
        <v>7</v>
      </c>
      <c r="K1" t="s">
        <v>8</v>
      </c>
      <c r="L1" t="s">
        <v>9</v>
      </c>
      <c r="M1" t="s">
        <v>10</v>
      </c>
      <c r="N1" t="s">
        <v>1314</v>
      </c>
      <c r="O1" t="s">
        <v>11</v>
      </c>
      <c r="P1" t="s">
        <v>12</v>
      </c>
      <c r="Q1" t="s">
        <v>13</v>
      </c>
    </row>
    <row r="2" spans="1:17" x14ac:dyDescent="0.35">
      <c r="A2">
        <v>1</v>
      </c>
      <c r="B2" t="s">
        <v>14</v>
      </c>
      <c r="C2" t="s">
        <v>15</v>
      </c>
      <c r="D2" t="s">
        <v>1315</v>
      </c>
      <c r="E2">
        <v>18</v>
      </c>
      <c r="F2" t="str">
        <f>IF(E2&gt;45,"senior",IF(E2&gt;=25,"adult","teen"))</f>
        <v>teen</v>
      </c>
      <c r="G2" t="s">
        <v>16</v>
      </c>
      <c r="H2" t="str">
        <f>TEXT(G2,"mmm")</f>
        <v>Apr</v>
      </c>
      <c r="I2" t="s">
        <v>17</v>
      </c>
      <c r="J2" t="s">
        <v>18</v>
      </c>
      <c r="K2" t="s">
        <v>19</v>
      </c>
      <c r="L2" t="s">
        <v>20</v>
      </c>
      <c r="M2">
        <v>3</v>
      </c>
      <c r="N2" t="str">
        <f>IF(O2&gt;=3000,"high",IF(O2&gt;=500,"low","medium"))</f>
        <v>low</v>
      </c>
      <c r="O2">
        <v>1938</v>
      </c>
      <c r="P2" t="s">
        <v>21</v>
      </c>
      <c r="Q2" t="s">
        <v>22</v>
      </c>
    </row>
    <row r="3" spans="1:17" x14ac:dyDescent="0.35">
      <c r="A3">
        <v>2</v>
      </c>
      <c r="B3" t="s">
        <v>23</v>
      </c>
      <c r="C3" t="s">
        <v>24</v>
      </c>
      <c r="D3" t="s">
        <v>1316</v>
      </c>
      <c r="E3">
        <v>35</v>
      </c>
      <c r="F3" t="str">
        <f t="shared" ref="F3:F66" si="0">IF(E3&gt;45,"senior",IF(E3&gt;=25,"adult","teen"))</f>
        <v>adult</v>
      </c>
      <c r="G3" t="s">
        <v>25</v>
      </c>
      <c r="H3" t="str">
        <f t="shared" ref="H3:H66" si="1">TEXT(G3,"mmm")</f>
        <v>Apr</v>
      </c>
      <c r="I3" t="s">
        <v>26</v>
      </c>
      <c r="J3" t="s">
        <v>18</v>
      </c>
      <c r="K3" t="s">
        <v>19</v>
      </c>
      <c r="L3" t="s">
        <v>20</v>
      </c>
      <c r="M3">
        <v>3</v>
      </c>
      <c r="N3" t="str">
        <f t="shared" ref="N3:N66" si="2">IF(O3&gt;=3000,"high",IF(O3&gt;=500,"low","medium"))</f>
        <v>high</v>
      </c>
      <c r="O3">
        <v>5121</v>
      </c>
      <c r="P3" t="s">
        <v>27</v>
      </c>
      <c r="Q3" t="s">
        <v>22</v>
      </c>
    </row>
    <row r="4" spans="1:17" x14ac:dyDescent="0.35">
      <c r="A4">
        <v>3</v>
      </c>
      <c r="B4" t="s">
        <v>28</v>
      </c>
      <c r="C4" t="s">
        <v>29</v>
      </c>
      <c r="D4" t="s">
        <v>1315</v>
      </c>
      <c r="E4">
        <v>30</v>
      </c>
      <c r="F4" t="str">
        <f t="shared" si="0"/>
        <v>adult</v>
      </c>
      <c r="G4" t="s">
        <v>30</v>
      </c>
      <c r="H4" t="str">
        <f t="shared" si="1"/>
        <v>Feb</v>
      </c>
      <c r="I4" t="s">
        <v>31</v>
      </c>
      <c r="J4" t="s">
        <v>18</v>
      </c>
      <c r="K4" t="s">
        <v>19</v>
      </c>
      <c r="L4" t="s">
        <v>32</v>
      </c>
      <c r="M4">
        <v>5</v>
      </c>
      <c r="N4" t="str">
        <f t="shared" si="2"/>
        <v>high</v>
      </c>
      <c r="O4">
        <v>12020</v>
      </c>
      <c r="P4" t="s">
        <v>33</v>
      </c>
      <c r="Q4" t="s">
        <v>33</v>
      </c>
    </row>
    <row r="5" spans="1:17" x14ac:dyDescent="0.35">
      <c r="A5">
        <v>4</v>
      </c>
      <c r="B5" t="s">
        <v>34</v>
      </c>
      <c r="C5" t="s">
        <v>35</v>
      </c>
      <c r="D5" t="s">
        <v>1316</v>
      </c>
      <c r="E5">
        <v>42</v>
      </c>
      <c r="F5" t="str">
        <f t="shared" si="0"/>
        <v>adult</v>
      </c>
      <c r="G5" t="s">
        <v>36</v>
      </c>
      <c r="H5" t="str">
        <f t="shared" si="1"/>
        <v>Feb</v>
      </c>
      <c r="I5" t="s">
        <v>31</v>
      </c>
      <c r="J5" t="s">
        <v>37</v>
      </c>
      <c r="K5" t="s">
        <v>38</v>
      </c>
      <c r="L5" t="s">
        <v>39</v>
      </c>
      <c r="M5">
        <v>2</v>
      </c>
      <c r="N5" t="str">
        <f t="shared" si="2"/>
        <v>low</v>
      </c>
      <c r="O5">
        <v>1788</v>
      </c>
      <c r="P5" t="s">
        <v>40</v>
      </c>
      <c r="Q5" t="s">
        <v>22</v>
      </c>
    </row>
    <row r="6" spans="1:17" x14ac:dyDescent="0.35">
      <c r="A6">
        <v>5</v>
      </c>
      <c r="B6" t="s">
        <v>41</v>
      </c>
      <c r="C6" t="s">
        <v>42</v>
      </c>
      <c r="D6" t="s">
        <v>1315</v>
      </c>
      <c r="E6">
        <v>45</v>
      </c>
      <c r="F6" t="str">
        <f t="shared" si="0"/>
        <v>adult</v>
      </c>
      <c r="G6" t="s">
        <v>43</v>
      </c>
      <c r="H6" t="str">
        <f t="shared" si="1"/>
        <v>Apr</v>
      </c>
      <c r="I6" t="s">
        <v>31</v>
      </c>
      <c r="J6" t="s">
        <v>37</v>
      </c>
      <c r="K6" t="s">
        <v>19</v>
      </c>
      <c r="L6" t="s">
        <v>39</v>
      </c>
      <c r="M6">
        <v>2</v>
      </c>
      <c r="N6" t="str">
        <f t="shared" si="2"/>
        <v>high</v>
      </c>
      <c r="O6">
        <v>5182</v>
      </c>
      <c r="P6" t="s">
        <v>44</v>
      </c>
      <c r="Q6" t="s">
        <v>45</v>
      </c>
    </row>
    <row r="7" spans="1:17" x14ac:dyDescent="0.35">
      <c r="A7">
        <v>6</v>
      </c>
      <c r="B7" t="s">
        <v>46</v>
      </c>
      <c r="C7" t="s">
        <v>47</v>
      </c>
      <c r="D7" t="s">
        <v>1315</v>
      </c>
      <c r="E7">
        <v>59</v>
      </c>
      <c r="F7" t="str">
        <f t="shared" si="0"/>
        <v>senior</v>
      </c>
      <c r="G7" t="s">
        <v>48</v>
      </c>
      <c r="H7" t="str">
        <f t="shared" si="1"/>
        <v>Apr</v>
      </c>
      <c r="I7" t="s">
        <v>17</v>
      </c>
      <c r="J7" t="s">
        <v>37</v>
      </c>
      <c r="K7" t="s">
        <v>49</v>
      </c>
      <c r="L7" t="s">
        <v>32</v>
      </c>
      <c r="M7">
        <v>4</v>
      </c>
      <c r="N7" t="str">
        <f t="shared" si="2"/>
        <v>high</v>
      </c>
      <c r="O7">
        <v>11336</v>
      </c>
      <c r="P7" t="s">
        <v>27</v>
      </c>
      <c r="Q7" t="s">
        <v>22</v>
      </c>
    </row>
    <row r="8" spans="1:17" x14ac:dyDescent="0.35">
      <c r="A8">
        <v>7</v>
      </c>
      <c r="B8" t="s">
        <v>50</v>
      </c>
      <c r="C8" t="s">
        <v>51</v>
      </c>
      <c r="D8" t="s">
        <v>1315</v>
      </c>
      <c r="E8">
        <v>58</v>
      </c>
      <c r="F8" t="str">
        <f t="shared" si="0"/>
        <v>senior</v>
      </c>
      <c r="G8" t="s">
        <v>52</v>
      </c>
      <c r="H8" t="str">
        <f t="shared" si="1"/>
        <v>Apr</v>
      </c>
      <c r="I8" t="s">
        <v>17</v>
      </c>
      <c r="J8" t="s">
        <v>18</v>
      </c>
      <c r="K8" t="s">
        <v>19</v>
      </c>
      <c r="L8" t="s">
        <v>39</v>
      </c>
      <c r="M8">
        <v>3</v>
      </c>
      <c r="N8" t="str">
        <f t="shared" si="2"/>
        <v>low</v>
      </c>
      <c r="O8">
        <v>2838</v>
      </c>
      <c r="P8" t="s">
        <v>27</v>
      </c>
      <c r="Q8" t="s">
        <v>22</v>
      </c>
    </row>
    <row r="9" spans="1:17" x14ac:dyDescent="0.35">
      <c r="A9">
        <v>8</v>
      </c>
      <c r="B9" t="s">
        <v>53</v>
      </c>
      <c r="C9" t="s">
        <v>54</v>
      </c>
      <c r="D9" t="s">
        <v>1315</v>
      </c>
      <c r="E9">
        <v>53</v>
      </c>
      <c r="F9" t="str">
        <f t="shared" si="0"/>
        <v>senior</v>
      </c>
      <c r="G9" t="s">
        <v>55</v>
      </c>
      <c r="H9" t="str">
        <f t="shared" si="1"/>
        <v>Aug</v>
      </c>
      <c r="I9" t="s">
        <v>31</v>
      </c>
      <c r="J9" t="s">
        <v>56</v>
      </c>
      <c r="K9" t="s">
        <v>38</v>
      </c>
      <c r="L9" t="s">
        <v>39</v>
      </c>
      <c r="M9">
        <v>4</v>
      </c>
      <c r="N9" t="str">
        <f t="shared" si="2"/>
        <v>high</v>
      </c>
      <c r="O9">
        <v>8940</v>
      </c>
      <c r="P9" t="s">
        <v>57</v>
      </c>
      <c r="Q9" t="s">
        <v>58</v>
      </c>
    </row>
    <row r="10" spans="1:17" x14ac:dyDescent="0.35">
      <c r="A10">
        <v>9</v>
      </c>
      <c r="B10" t="s">
        <v>59</v>
      </c>
      <c r="C10" t="s">
        <v>60</v>
      </c>
      <c r="D10" t="s">
        <v>1315</v>
      </c>
      <c r="E10">
        <v>35</v>
      </c>
      <c r="F10" t="str">
        <f t="shared" si="0"/>
        <v>adult</v>
      </c>
      <c r="G10" t="s">
        <v>61</v>
      </c>
      <c r="H10" t="str">
        <f t="shared" si="1"/>
        <v>Feb</v>
      </c>
      <c r="I10" t="s">
        <v>17</v>
      </c>
      <c r="J10" t="s">
        <v>37</v>
      </c>
      <c r="K10" t="s">
        <v>62</v>
      </c>
      <c r="L10" t="s">
        <v>32</v>
      </c>
      <c r="M10">
        <v>4</v>
      </c>
      <c r="N10" t="str">
        <f t="shared" si="2"/>
        <v>high</v>
      </c>
      <c r="O10">
        <v>11640</v>
      </c>
      <c r="P10" t="s">
        <v>57</v>
      </c>
      <c r="Q10" t="s">
        <v>58</v>
      </c>
    </row>
    <row r="11" spans="1:17" x14ac:dyDescent="0.35">
      <c r="A11">
        <v>10</v>
      </c>
      <c r="B11" t="s">
        <v>63</v>
      </c>
      <c r="C11" t="s">
        <v>64</v>
      </c>
      <c r="D11" t="s">
        <v>1315</v>
      </c>
      <c r="E11">
        <v>49</v>
      </c>
      <c r="F11" t="str">
        <f t="shared" si="0"/>
        <v>senior</v>
      </c>
      <c r="G11" t="s">
        <v>65</v>
      </c>
      <c r="H11" t="str">
        <f t="shared" si="1"/>
        <v>Sep</v>
      </c>
      <c r="I11" t="s">
        <v>26</v>
      </c>
      <c r="J11" t="s">
        <v>56</v>
      </c>
      <c r="K11" t="s">
        <v>62</v>
      </c>
      <c r="L11" t="s">
        <v>66</v>
      </c>
      <c r="M11">
        <v>1</v>
      </c>
      <c r="N11" t="str">
        <f t="shared" si="2"/>
        <v>low</v>
      </c>
      <c r="O11">
        <v>2185</v>
      </c>
      <c r="P11" t="s">
        <v>44</v>
      </c>
      <c r="Q11" t="s">
        <v>45</v>
      </c>
    </row>
    <row r="12" spans="1:17" x14ac:dyDescent="0.35">
      <c r="A12">
        <v>11</v>
      </c>
      <c r="B12" t="s">
        <v>67</v>
      </c>
      <c r="C12" t="s">
        <v>68</v>
      </c>
      <c r="D12" t="s">
        <v>1316</v>
      </c>
      <c r="E12">
        <v>53</v>
      </c>
      <c r="F12" t="str">
        <f t="shared" si="0"/>
        <v>senior</v>
      </c>
      <c r="G12" t="s">
        <v>69</v>
      </c>
      <c r="H12" t="str">
        <f t="shared" si="1"/>
        <v>Dec</v>
      </c>
      <c r="I12" t="s">
        <v>26</v>
      </c>
      <c r="J12" t="s">
        <v>56</v>
      </c>
      <c r="K12" t="s">
        <v>38</v>
      </c>
      <c r="L12" t="s">
        <v>20</v>
      </c>
      <c r="M12">
        <v>2</v>
      </c>
      <c r="N12" t="str">
        <f t="shared" si="2"/>
        <v>low</v>
      </c>
      <c r="O12">
        <v>1818</v>
      </c>
      <c r="P12" t="s">
        <v>27</v>
      </c>
      <c r="Q12" t="s">
        <v>22</v>
      </c>
    </row>
    <row r="13" spans="1:17" x14ac:dyDescent="0.35">
      <c r="A13">
        <v>12</v>
      </c>
      <c r="B13" t="s">
        <v>70</v>
      </c>
      <c r="C13" t="s">
        <v>71</v>
      </c>
      <c r="D13" t="s">
        <v>1316</v>
      </c>
      <c r="E13">
        <v>25</v>
      </c>
      <c r="F13" t="str">
        <f t="shared" si="0"/>
        <v>adult</v>
      </c>
      <c r="G13" t="s">
        <v>72</v>
      </c>
      <c r="H13" t="str">
        <f t="shared" si="1"/>
        <v>Aug</v>
      </c>
      <c r="I13" t="s">
        <v>17</v>
      </c>
      <c r="J13" t="s">
        <v>37</v>
      </c>
      <c r="K13" t="s">
        <v>38</v>
      </c>
      <c r="L13" t="s">
        <v>66</v>
      </c>
      <c r="M13">
        <v>4</v>
      </c>
      <c r="N13" t="str">
        <f t="shared" si="2"/>
        <v>high</v>
      </c>
      <c r="O13">
        <v>8404</v>
      </c>
      <c r="P13" t="s">
        <v>44</v>
      </c>
      <c r="Q13" t="s">
        <v>45</v>
      </c>
    </row>
    <row r="14" spans="1:17" x14ac:dyDescent="0.35">
      <c r="A14">
        <v>13</v>
      </c>
      <c r="B14" t="s">
        <v>73</v>
      </c>
      <c r="C14" t="s">
        <v>74</v>
      </c>
      <c r="D14" t="s">
        <v>1315</v>
      </c>
      <c r="E14">
        <v>21</v>
      </c>
      <c r="F14" t="str">
        <f t="shared" si="0"/>
        <v>teen</v>
      </c>
      <c r="G14" t="s">
        <v>75</v>
      </c>
      <c r="H14" t="str">
        <f t="shared" si="1"/>
        <v>Oct</v>
      </c>
      <c r="I14" t="s">
        <v>31</v>
      </c>
      <c r="J14" t="s">
        <v>18</v>
      </c>
      <c r="K14" t="s">
        <v>62</v>
      </c>
      <c r="L14" t="s">
        <v>66</v>
      </c>
      <c r="M14">
        <v>4</v>
      </c>
      <c r="N14" t="str">
        <f t="shared" si="2"/>
        <v>high</v>
      </c>
      <c r="O14">
        <v>10992</v>
      </c>
      <c r="P14" t="s">
        <v>57</v>
      </c>
      <c r="Q14" t="s">
        <v>58</v>
      </c>
    </row>
    <row r="15" spans="1:17" x14ac:dyDescent="0.35">
      <c r="A15">
        <v>14</v>
      </c>
      <c r="B15" t="s">
        <v>76</v>
      </c>
      <c r="C15" t="s">
        <v>77</v>
      </c>
      <c r="D15" t="s">
        <v>1315</v>
      </c>
      <c r="E15">
        <v>34</v>
      </c>
      <c r="F15" t="str">
        <f t="shared" si="0"/>
        <v>adult</v>
      </c>
      <c r="G15" t="s">
        <v>78</v>
      </c>
      <c r="H15" t="str">
        <f t="shared" si="1"/>
        <v>Aug</v>
      </c>
      <c r="I15" t="s">
        <v>31</v>
      </c>
      <c r="J15" t="s">
        <v>18</v>
      </c>
      <c r="K15" t="s">
        <v>19</v>
      </c>
      <c r="L15" t="s">
        <v>66</v>
      </c>
      <c r="M15">
        <v>3</v>
      </c>
      <c r="N15" t="str">
        <f t="shared" si="2"/>
        <v>low</v>
      </c>
      <c r="O15">
        <v>2301</v>
      </c>
      <c r="P15" t="s">
        <v>79</v>
      </c>
      <c r="Q15" t="s">
        <v>80</v>
      </c>
    </row>
    <row r="16" spans="1:17" x14ac:dyDescent="0.35">
      <c r="A16">
        <v>15</v>
      </c>
      <c r="B16" t="s">
        <v>81</v>
      </c>
      <c r="C16" t="s">
        <v>82</v>
      </c>
      <c r="D16" t="s">
        <v>1315</v>
      </c>
      <c r="E16">
        <v>48</v>
      </c>
      <c r="F16" t="str">
        <f t="shared" si="0"/>
        <v>senior</v>
      </c>
      <c r="G16" t="s">
        <v>83</v>
      </c>
      <c r="H16" t="str">
        <f t="shared" si="1"/>
        <v>Jul</v>
      </c>
      <c r="I16" t="s">
        <v>17</v>
      </c>
      <c r="J16" t="s">
        <v>18</v>
      </c>
      <c r="K16" t="s">
        <v>38</v>
      </c>
      <c r="L16" t="s">
        <v>32</v>
      </c>
      <c r="M16">
        <v>4</v>
      </c>
      <c r="N16" t="str">
        <f t="shared" si="2"/>
        <v>high</v>
      </c>
      <c r="O16">
        <v>11800</v>
      </c>
      <c r="P16" t="s">
        <v>33</v>
      </c>
      <c r="Q16" t="s">
        <v>33</v>
      </c>
    </row>
    <row r="17" spans="1:17" x14ac:dyDescent="0.35">
      <c r="A17">
        <v>16</v>
      </c>
      <c r="B17" t="s">
        <v>84</v>
      </c>
      <c r="C17" t="s">
        <v>85</v>
      </c>
      <c r="D17" t="s">
        <v>1315</v>
      </c>
      <c r="E17">
        <v>36</v>
      </c>
      <c r="F17" t="str">
        <f t="shared" si="0"/>
        <v>adult</v>
      </c>
      <c r="G17" t="s">
        <v>86</v>
      </c>
      <c r="H17" t="str">
        <f t="shared" si="1"/>
        <v>Jul</v>
      </c>
      <c r="I17" t="s">
        <v>17</v>
      </c>
      <c r="J17" t="s">
        <v>56</v>
      </c>
      <c r="K17" t="s">
        <v>49</v>
      </c>
      <c r="L17" t="s">
        <v>66</v>
      </c>
      <c r="M17">
        <v>5</v>
      </c>
      <c r="N17" t="str">
        <f t="shared" si="2"/>
        <v>high</v>
      </c>
      <c r="O17">
        <v>8620</v>
      </c>
      <c r="P17" t="s">
        <v>40</v>
      </c>
      <c r="Q17" t="s">
        <v>22</v>
      </c>
    </row>
    <row r="18" spans="1:17" x14ac:dyDescent="0.35">
      <c r="A18">
        <v>17</v>
      </c>
      <c r="B18" t="s">
        <v>87</v>
      </c>
      <c r="C18" t="s">
        <v>88</v>
      </c>
      <c r="D18" t="s">
        <v>1316</v>
      </c>
      <c r="E18">
        <v>24</v>
      </c>
      <c r="F18" t="str">
        <f t="shared" si="0"/>
        <v>teen</v>
      </c>
      <c r="G18" t="s">
        <v>89</v>
      </c>
      <c r="H18" t="str">
        <f t="shared" si="1"/>
        <v>Nov</v>
      </c>
      <c r="I18" t="s">
        <v>31</v>
      </c>
      <c r="J18" t="s">
        <v>37</v>
      </c>
      <c r="K18" t="s">
        <v>19</v>
      </c>
      <c r="L18" t="s">
        <v>32</v>
      </c>
      <c r="M18">
        <v>5</v>
      </c>
      <c r="N18" t="str">
        <f t="shared" si="2"/>
        <v>high</v>
      </c>
      <c r="O18">
        <v>9190</v>
      </c>
      <c r="P18" t="s">
        <v>57</v>
      </c>
      <c r="Q18" t="s">
        <v>58</v>
      </c>
    </row>
    <row r="19" spans="1:17" x14ac:dyDescent="0.35">
      <c r="A19">
        <v>18</v>
      </c>
      <c r="B19" t="s">
        <v>90</v>
      </c>
      <c r="C19" t="s">
        <v>91</v>
      </c>
      <c r="D19" t="s">
        <v>1316</v>
      </c>
      <c r="E19">
        <v>36</v>
      </c>
      <c r="F19" t="str">
        <f t="shared" si="0"/>
        <v>adult</v>
      </c>
      <c r="G19" t="s">
        <v>92</v>
      </c>
      <c r="H19" t="str">
        <f t="shared" si="1"/>
        <v>Dec</v>
      </c>
      <c r="I19" t="s">
        <v>31</v>
      </c>
      <c r="J19" t="s">
        <v>37</v>
      </c>
      <c r="K19" t="s">
        <v>49</v>
      </c>
      <c r="L19" t="s">
        <v>32</v>
      </c>
      <c r="M19">
        <v>5</v>
      </c>
      <c r="N19" t="str">
        <f t="shared" si="2"/>
        <v>high</v>
      </c>
      <c r="O19">
        <v>13040</v>
      </c>
      <c r="P19" t="s">
        <v>79</v>
      </c>
      <c r="Q19" t="s">
        <v>80</v>
      </c>
    </row>
    <row r="20" spans="1:17" x14ac:dyDescent="0.35">
      <c r="A20">
        <v>19</v>
      </c>
      <c r="B20" t="s">
        <v>93</v>
      </c>
      <c r="C20" t="s">
        <v>94</v>
      </c>
      <c r="D20" t="s">
        <v>1316</v>
      </c>
      <c r="E20">
        <v>56</v>
      </c>
      <c r="F20" t="str">
        <f t="shared" si="0"/>
        <v>senior</v>
      </c>
      <c r="G20" t="s">
        <v>95</v>
      </c>
      <c r="H20" t="str">
        <f t="shared" si="1"/>
        <v>Sep</v>
      </c>
      <c r="I20" t="s">
        <v>17</v>
      </c>
      <c r="J20" t="s">
        <v>56</v>
      </c>
      <c r="K20" t="s">
        <v>38</v>
      </c>
      <c r="L20" t="s">
        <v>20</v>
      </c>
      <c r="M20">
        <v>5</v>
      </c>
      <c r="N20" t="str">
        <f t="shared" si="2"/>
        <v>high</v>
      </c>
      <c r="O20">
        <v>5830</v>
      </c>
      <c r="P20" t="s">
        <v>33</v>
      </c>
      <c r="Q20" t="s">
        <v>33</v>
      </c>
    </row>
    <row r="21" spans="1:17" x14ac:dyDescent="0.35">
      <c r="A21">
        <v>20</v>
      </c>
      <c r="B21" t="s">
        <v>96</v>
      </c>
      <c r="C21" t="s">
        <v>97</v>
      </c>
      <c r="D21" t="s">
        <v>1316</v>
      </c>
      <c r="E21">
        <v>25</v>
      </c>
      <c r="F21" t="str">
        <f t="shared" si="0"/>
        <v>adult</v>
      </c>
      <c r="G21" t="s">
        <v>98</v>
      </c>
      <c r="H21" t="str">
        <f t="shared" si="1"/>
        <v>Jul</v>
      </c>
      <c r="I21" t="s">
        <v>31</v>
      </c>
      <c r="J21" t="s">
        <v>37</v>
      </c>
      <c r="K21" t="s">
        <v>19</v>
      </c>
      <c r="L21" t="s">
        <v>32</v>
      </c>
      <c r="M21">
        <v>1</v>
      </c>
      <c r="N21" t="str">
        <f t="shared" si="2"/>
        <v>low</v>
      </c>
      <c r="O21">
        <v>937</v>
      </c>
      <c r="P21" t="s">
        <v>99</v>
      </c>
      <c r="Q21" t="s">
        <v>100</v>
      </c>
    </row>
    <row r="22" spans="1:17" x14ac:dyDescent="0.35">
      <c r="A22">
        <v>21</v>
      </c>
      <c r="B22" t="s">
        <v>101</v>
      </c>
      <c r="C22" t="s">
        <v>102</v>
      </c>
      <c r="D22" t="s">
        <v>1316</v>
      </c>
      <c r="E22">
        <v>28</v>
      </c>
      <c r="F22" t="str">
        <f t="shared" si="0"/>
        <v>adult</v>
      </c>
      <c r="G22" t="s">
        <v>103</v>
      </c>
      <c r="H22" t="str">
        <f t="shared" si="1"/>
        <v>Oct</v>
      </c>
      <c r="I22" t="s">
        <v>26</v>
      </c>
      <c r="J22" t="s">
        <v>18</v>
      </c>
      <c r="K22" t="s">
        <v>62</v>
      </c>
      <c r="L22" t="s">
        <v>66</v>
      </c>
      <c r="M22">
        <v>5</v>
      </c>
      <c r="N22" t="str">
        <f t="shared" si="2"/>
        <v>high</v>
      </c>
      <c r="O22">
        <v>13675</v>
      </c>
      <c r="P22" t="s">
        <v>27</v>
      </c>
      <c r="Q22" t="s">
        <v>22</v>
      </c>
    </row>
    <row r="23" spans="1:17" x14ac:dyDescent="0.35">
      <c r="A23">
        <v>22</v>
      </c>
      <c r="B23" t="s">
        <v>104</v>
      </c>
      <c r="C23" t="s">
        <v>105</v>
      </c>
      <c r="D23" t="s">
        <v>1315</v>
      </c>
      <c r="E23">
        <v>58</v>
      </c>
      <c r="F23" t="str">
        <f t="shared" si="0"/>
        <v>senior</v>
      </c>
      <c r="G23" t="s">
        <v>106</v>
      </c>
      <c r="H23" t="str">
        <f t="shared" si="1"/>
        <v>Sep</v>
      </c>
      <c r="I23" t="s">
        <v>26</v>
      </c>
      <c r="J23" t="s">
        <v>56</v>
      </c>
      <c r="K23" t="s">
        <v>62</v>
      </c>
      <c r="L23" t="s">
        <v>66</v>
      </c>
      <c r="M23">
        <v>1</v>
      </c>
      <c r="N23" t="str">
        <f t="shared" si="2"/>
        <v>low</v>
      </c>
      <c r="O23">
        <v>1798</v>
      </c>
      <c r="P23" t="s">
        <v>79</v>
      </c>
      <c r="Q23" t="s">
        <v>80</v>
      </c>
    </row>
    <row r="24" spans="1:17" x14ac:dyDescent="0.35">
      <c r="A24">
        <v>23</v>
      </c>
      <c r="B24" t="s">
        <v>107</v>
      </c>
      <c r="C24" t="s">
        <v>108</v>
      </c>
      <c r="D24" t="s">
        <v>1315</v>
      </c>
      <c r="E24">
        <v>23</v>
      </c>
      <c r="F24" t="str">
        <f t="shared" si="0"/>
        <v>teen</v>
      </c>
      <c r="G24" t="s">
        <v>109</v>
      </c>
      <c r="H24" t="str">
        <f t="shared" si="1"/>
        <v>Nov</v>
      </c>
      <c r="I24" t="s">
        <v>31</v>
      </c>
      <c r="J24" t="s">
        <v>56</v>
      </c>
      <c r="K24" t="s">
        <v>19</v>
      </c>
      <c r="L24" t="s">
        <v>20</v>
      </c>
      <c r="M24">
        <v>4</v>
      </c>
      <c r="N24" t="str">
        <f t="shared" si="2"/>
        <v>high</v>
      </c>
      <c r="O24">
        <v>9960</v>
      </c>
      <c r="P24" t="s">
        <v>27</v>
      </c>
      <c r="Q24" t="s">
        <v>22</v>
      </c>
    </row>
    <row r="25" spans="1:17" x14ac:dyDescent="0.35">
      <c r="A25">
        <v>24</v>
      </c>
      <c r="B25" t="s">
        <v>110</v>
      </c>
      <c r="C25" t="s">
        <v>111</v>
      </c>
      <c r="D25" t="s">
        <v>1316</v>
      </c>
      <c r="E25">
        <v>28</v>
      </c>
      <c r="F25" t="str">
        <f t="shared" si="0"/>
        <v>adult</v>
      </c>
      <c r="G25" t="s">
        <v>112</v>
      </c>
      <c r="H25" t="str">
        <f t="shared" si="1"/>
        <v>Jul</v>
      </c>
      <c r="I25" t="s">
        <v>26</v>
      </c>
      <c r="J25" t="s">
        <v>18</v>
      </c>
      <c r="K25" t="s">
        <v>19</v>
      </c>
      <c r="L25" t="s">
        <v>32</v>
      </c>
      <c r="M25">
        <v>2</v>
      </c>
      <c r="N25" t="str">
        <f t="shared" si="2"/>
        <v>high</v>
      </c>
      <c r="O25">
        <v>3396</v>
      </c>
      <c r="P25" t="s">
        <v>33</v>
      </c>
      <c r="Q25" t="s">
        <v>33</v>
      </c>
    </row>
    <row r="26" spans="1:17" x14ac:dyDescent="0.35">
      <c r="A26">
        <v>25</v>
      </c>
      <c r="B26" t="s">
        <v>113</v>
      </c>
      <c r="C26" t="s">
        <v>114</v>
      </c>
      <c r="D26" t="s">
        <v>1315</v>
      </c>
      <c r="E26">
        <v>41</v>
      </c>
      <c r="F26" t="str">
        <f t="shared" si="0"/>
        <v>adult</v>
      </c>
      <c r="G26" t="s">
        <v>65</v>
      </c>
      <c r="H26" t="str">
        <f t="shared" si="1"/>
        <v>Sep</v>
      </c>
      <c r="I26" t="s">
        <v>26</v>
      </c>
      <c r="J26" t="s">
        <v>18</v>
      </c>
      <c r="K26" t="s">
        <v>62</v>
      </c>
      <c r="L26" t="s">
        <v>32</v>
      </c>
      <c r="M26">
        <v>2</v>
      </c>
      <c r="N26" t="str">
        <f t="shared" si="2"/>
        <v>low</v>
      </c>
      <c r="O26">
        <v>1652</v>
      </c>
      <c r="P26" t="s">
        <v>57</v>
      </c>
      <c r="Q26" t="s">
        <v>58</v>
      </c>
    </row>
    <row r="27" spans="1:17" x14ac:dyDescent="0.35">
      <c r="A27">
        <v>26</v>
      </c>
      <c r="B27" t="s">
        <v>115</v>
      </c>
      <c r="C27" t="s">
        <v>116</v>
      </c>
      <c r="D27" t="s">
        <v>1316</v>
      </c>
      <c r="E27">
        <v>27</v>
      </c>
      <c r="F27" t="str">
        <f t="shared" si="0"/>
        <v>adult</v>
      </c>
      <c r="G27" t="s">
        <v>117</v>
      </c>
      <c r="H27" t="str">
        <f t="shared" si="1"/>
        <v>Sep</v>
      </c>
      <c r="I27" t="s">
        <v>17</v>
      </c>
      <c r="J27" t="s">
        <v>56</v>
      </c>
      <c r="K27" t="s">
        <v>38</v>
      </c>
      <c r="L27" t="s">
        <v>32</v>
      </c>
      <c r="M27">
        <v>2</v>
      </c>
      <c r="N27" t="str">
        <f t="shared" si="2"/>
        <v>low</v>
      </c>
      <c r="O27">
        <v>1864</v>
      </c>
      <c r="P27" t="s">
        <v>57</v>
      </c>
      <c r="Q27" t="s">
        <v>58</v>
      </c>
    </row>
    <row r="28" spans="1:17" x14ac:dyDescent="0.35">
      <c r="A28">
        <v>27</v>
      </c>
      <c r="B28" t="s">
        <v>118</v>
      </c>
      <c r="C28" t="s">
        <v>119</v>
      </c>
      <c r="D28" t="s">
        <v>1315</v>
      </c>
      <c r="E28">
        <v>45</v>
      </c>
      <c r="F28" t="str">
        <f t="shared" si="0"/>
        <v>adult</v>
      </c>
      <c r="G28" t="s">
        <v>120</v>
      </c>
      <c r="H28" t="str">
        <f t="shared" si="1"/>
        <v>Jun</v>
      </c>
      <c r="I28" t="s">
        <v>17</v>
      </c>
      <c r="J28" t="s">
        <v>37</v>
      </c>
      <c r="K28" t="s">
        <v>62</v>
      </c>
      <c r="L28" t="s">
        <v>32</v>
      </c>
      <c r="M28">
        <v>5</v>
      </c>
      <c r="N28" t="str">
        <f t="shared" si="2"/>
        <v>high</v>
      </c>
      <c r="O28">
        <v>5190</v>
      </c>
      <c r="P28" t="s">
        <v>33</v>
      </c>
      <c r="Q28" t="s">
        <v>33</v>
      </c>
    </row>
    <row r="29" spans="1:17" x14ac:dyDescent="0.35">
      <c r="A29">
        <v>28</v>
      </c>
      <c r="B29" t="s">
        <v>121</v>
      </c>
      <c r="C29" t="s">
        <v>122</v>
      </c>
      <c r="D29" t="s">
        <v>1316</v>
      </c>
      <c r="E29">
        <v>31</v>
      </c>
      <c r="F29" t="str">
        <f t="shared" si="0"/>
        <v>adult</v>
      </c>
      <c r="G29" t="s">
        <v>123</v>
      </c>
      <c r="H29" t="str">
        <f t="shared" si="1"/>
        <v>May</v>
      </c>
      <c r="I29" t="s">
        <v>31</v>
      </c>
      <c r="J29" t="s">
        <v>56</v>
      </c>
      <c r="K29" t="s">
        <v>38</v>
      </c>
      <c r="L29" t="s">
        <v>20</v>
      </c>
      <c r="M29">
        <v>4</v>
      </c>
      <c r="N29" t="str">
        <f t="shared" si="2"/>
        <v>high</v>
      </c>
      <c r="O29">
        <v>8708</v>
      </c>
      <c r="P29" t="s">
        <v>57</v>
      </c>
      <c r="Q29" t="s">
        <v>58</v>
      </c>
    </row>
    <row r="30" spans="1:17" x14ac:dyDescent="0.35">
      <c r="A30">
        <v>29</v>
      </c>
      <c r="B30" t="s">
        <v>124</v>
      </c>
      <c r="C30" t="s">
        <v>125</v>
      </c>
      <c r="D30" t="s">
        <v>1315</v>
      </c>
      <c r="E30">
        <v>35</v>
      </c>
      <c r="F30" t="str">
        <f t="shared" si="0"/>
        <v>adult</v>
      </c>
      <c r="G30" t="s">
        <v>126</v>
      </c>
      <c r="H30" t="str">
        <f t="shared" si="1"/>
        <v>May</v>
      </c>
      <c r="I30" t="s">
        <v>26</v>
      </c>
      <c r="J30" t="s">
        <v>37</v>
      </c>
      <c r="K30" t="s">
        <v>38</v>
      </c>
      <c r="L30" t="s">
        <v>39</v>
      </c>
      <c r="M30">
        <v>3</v>
      </c>
      <c r="N30" t="str">
        <f t="shared" si="2"/>
        <v>high</v>
      </c>
      <c r="O30">
        <v>3105</v>
      </c>
      <c r="P30" t="s">
        <v>40</v>
      </c>
      <c r="Q30" t="s">
        <v>22</v>
      </c>
    </row>
    <row r="31" spans="1:17" x14ac:dyDescent="0.35">
      <c r="A31">
        <v>30</v>
      </c>
      <c r="B31" t="s">
        <v>127</v>
      </c>
      <c r="C31" t="s">
        <v>128</v>
      </c>
      <c r="D31" t="s">
        <v>1315</v>
      </c>
      <c r="E31">
        <v>52</v>
      </c>
      <c r="F31" t="str">
        <f t="shared" si="0"/>
        <v>senior</v>
      </c>
      <c r="G31" t="s">
        <v>129</v>
      </c>
      <c r="H31" t="str">
        <f t="shared" si="1"/>
        <v>Jun</v>
      </c>
      <c r="I31" t="s">
        <v>17</v>
      </c>
      <c r="J31" t="s">
        <v>37</v>
      </c>
      <c r="K31" t="s">
        <v>38</v>
      </c>
      <c r="L31" t="s">
        <v>20</v>
      </c>
      <c r="M31">
        <v>1</v>
      </c>
      <c r="N31" t="str">
        <f t="shared" si="2"/>
        <v>low</v>
      </c>
      <c r="O31">
        <v>614</v>
      </c>
      <c r="P31" t="s">
        <v>40</v>
      </c>
      <c r="Q31" t="s">
        <v>22</v>
      </c>
    </row>
    <row r="32" spans="1:17" x14ac:dyDescent="0.35">
      <c r="A32">
        <v>31</v>
      </c>
      <c r="B32" t="s">
        <v>130</v>
      </c>
      <c r="C32" t="s">
        <v>131</v>
      </c>
      <c r="D32" t="s">
        <v>1316</v>
      </c>
      <c r="E32">
        <v>46</v>
      </c>
      <c r="F32" t="str">
        <f t="shared" si="0"/>
        <v>senior</v>
      </c>
      <c r="G32" t="s">
        <v>132</v>
      </c>
      <c r="H32" t="str">
        <f t="shared" si="1"/>
        <v>Feb</v>
      </c>
      <c r="I32" t="s">
        <v>26</v>
      </c>
      <c r="J32" t="s">
        <v>56</v>
      </c>
      <c r="K32" t="s">
        <v>49</v>
      </c>
      <c r="L32" t="s">
        <v>39</v>
      </c>
      <c r="M32">
        <v>2</v>
      </c>
      <c r="N32" t="str">
        <f t="shared" si="2"/>
        <v>high</v>
      </c>
      <c r="O32">
        <v>4548</v>
      </c>
      <c r="P32" t="s">
        <v>57</v>
      </c>
      <c r="Q32" t="s">
        <v>58</v>
      </c>
    </row>
    <row r="33" spans="1:17" x14ac:dyDescent="0.35">
      <c r="A33">
        <v>32</v>
      </c>
      <c r="B33" t="s">
        <v>133</v>
      </c>
      <c r="C33" t="s">
        <v>134</v>
      </c>
      <c r="D33" t="s">
        <v>1315</v>
      </c>
      <c r="E33">
        <v>28</v>
      </c>
      <c r="F33" t="str">
        <f t="shared" si="0"/>
        <v>adult</v>
      </c>
      <c r="G33" t="s">
        <v>135</v>
      </c>
      <c r="H33" t="str">
        <f t="shared" si="1"/>
        <v>Nov</v>
      </c>
      <c r="I33" t="s">
        <v>26</v>
      </c>
      <c r="J33" t="s">
        <v>56</v>
      </c>
      <c r="K33" t="s">
        <v>19</v>
      </c>
      <c r="L33" t="s">
        <v>66</v>
      </c>
      <c r="M33">
        <v>1</v>
      </c>
      <c r="N33" t="str">
        <f t="shared" si="2"/>
        <v>low</v>
      </c>
      <c r="O33">
        <v>681</v>
      </c>
      <c r="P33" t="s">
        <v>27</v>
      </c>
      <c r="Q33" t="s">
        <v>22</v>
      </c>
    </row>
    <row r="34" spans="1:17" x14ac:dyDescent="0.35">
      <c r="A34">
        <v>33</v>
      </c>
      <c r="B34" t="s">
        <v>136</v>
      </c>
      <c r="C34" t="s">
        <v>137</v>
      </c>
      <c r="D34" t="s">
        <v>1315</v>
      </c>
      <c r="E34">
        <v>51</v>
      </c>
      <c r="F34" t="str">
        <f t="shared" si="0"/>
        <v>senior</v>
      </c>
      <c r="G34" t="s">
        <v>69</v>
      </c>
      <c r="H34" t="str">
        <f t="shared" si="1"/>
        <v>Dec</v>
      </c>
      <c r="I34" t="s">
        <v>17</v>
      </c>
      <c r="J34" t="s">
        <v>37</v>
      </c>
      <c r="K34" t="s">
        <v>49</v>
      </c>
      <c r="L34" t="s">
        <v>20</v>
      </c>
      <c r="M34">
        <v>4</v>
      </c>
      <c r="N34" t="str">
        <f t="shared" si="2"/>
        <v>high</v>
      </c>
      <c r="O34">
        <v>11636</v>
      </c>
      <c r="P34" t="s">
        <v>99</v>
      </c>
      <c r="Q34" t="s">
        <v>100</v>
      </c>
    </row>
    <row r="35" spans="1:17" x14ac:dyDescent="0.35">
      <c r="A35">
        <v>34</v>
      </c>
      <c r="B35" t="s">
        <v>138</v>
      </c>
      <c r="C35" t="s">
        <v>139</v>
      </c>
      <c r="D35" t="s">
        <v>1315</v>
      </c>
      <c r="E35">
        <v>55</v>
      </c>
      <c r="F35" t="str">
        <f t="shared" si="0"/>
        <v>senior</v>
      </c>
      <c r="G35" t="s">
        <v>140</v>
      </c>
      <c r="H35" t="str">
        <f t="shared" si="1"/>
        <v>Aug</v>
      </c>
      <c r="I35" t="s">
        <v>26</v>
      </c>
      <c r="J35" t="s">
        <v>37</v>
      </c>
      <c r="K35" t="s">
        <v>62</v>
      </c>
      <c r="L35" t="s">
        <v>32</v>
      </c>
      <c r="M35">
        <v>4</v>
      </c>
      <c r="N35" t="str">
        <f t="shared" si="2"/>
        <v>high</v>
      </c>
      <c r="O35">
        <v>9624</v>
      </c>
      <c r="P35" t="s">
        <v>99</v>
      </c>
      <c r="Q35" t="s">
        <v>100</v>
      </c>
    </row>
    <row r="36" spans="1:17" x14ac:dyDescent="0.35">
      <c r="A36">
        <v>35</v>
      </c>
      <c r="B36" t="s">
        <v>141</v>
      </c>
      <c r="C36" t="s">
        <v>142</v>
      </c>
      <c r="D36" t="s">
        <v>1315</v>
      </c>
      <c r="E36">
        <v>22</v>
      </c>
      <c r="F36" t="str">
        <f t="shared" si="0"/>
        <v>teen</v>
      </c>
      <c r="G36" t="s">
        <v>117</v>
      </c>
      <c r="H36" t="str">
        <f t="shared" si="1"/>
        <v>Sep</v>
      </c>
      <c r="I36" t="s">
        <v>31</v>
      </c>
      <c r="J36" t="s">
        <v>18</v>
      </c>
      <c r="K36" t="s">
        <v>38</v>
      </c>
      <c r="L36" t="s">
        <v>20</v>
      </c>
      <c r="M36">
        <v>2</v>
      </c>
      <c r="N36" t="str">
        <f t="shared" si="2"/>
        <v>high</v>
      </c>
      <c r="O36">
        <v>3558</v>
      </c>
      <c r="P36" t="s">
        <v>57</v>
      </c>
      <c r="Q36" t="s">
        <v>58</v>
      </c>
    </row>
    <row r="37" spans="1:17" x14ac:dyDescent="0.35">
      <c r="A37">
        <v>36</v>
      </c>
      <c r="B37" t="s">
        <v>143</v>
      </c>
      <c r="C37" t="s">
        <v>144</v>
      </c>
      <c r="D37" t="s">
        <v>1315</v>
      </c>
      <c r="E37">
        <v>28</v>
      </c>
      <c r="F37" t="str">
        <f t="shared" si="0"/>
        <v>adult</v>
      </c>
      <c r="G37" t="s">
        <v>145</v>
      </c>
      <c r="H37" t="str">
        <f t="shared" si="1"/>
        <v>Jul</v>
      </c>
      <c r="I37" t="s">
        <v>31</v>
      </c>
      <c r="J37" t="s">
        <v>18</v>
      </c>
      <c r="K37" t="s">
        <v>49</v>
      </c>
      <c r="L37" t="s">
        <v>39</v>
      </c>
      <c r="M37">
        <v>4</v>
      </c>
      <c r="N37" t="str">
        <f t="shared" si="2"/>
        <v>high</v>
      </c>
      <c r="O37">
        <v>10440</v>
      </c>
      <c r="P37" t="s">
        <v>40</v>
      </c>
      <c r="Q37" t="s">
        <v>22</v>
      </c>
    </row>
    <row r="38" spans="1:17" x14ac:dyDescent="0.35">
      <c r="A38">
        <v>37</v>
      </c>
      <c r="B38" t="s">
        <v>146</v>
      </c>
      <c r="C38" t="s">
        <v>147</v>
      </c>
      <c r="D38" t="s">
        <v>1315</v>
      </c>
      <c r="E38">
        <v>41</v>
      </c>
      <c r="F38" t="str">
        <f t="shared" si="0"/>
        <v>adult</v>
      </c>
      <c r="G38" t="s">
        <v>148</v>
      </c>
      <c r="H38" t="str">
        <f t="shared" si="1"/>
        <v>Jul</v>
      </c>
      <c r="I38" t="s">
        <v>26</v>
      </c>
      <c r="J38" t="s">
        <v>18</v>
      </c>
      <c r="K38" t="s">
        <v>19</v>
      </c>
      <c r="L38" t="s">
        <v>20</v>
      </c>
      <c r="M38">
        <v>3</v>
      </c>
      <c r="N38" t="str">
        <f t="shared" si="2"/>
        <v>high</v>
      </c>
      <c r="O38">
        <v>4179</v>
      </c>
      <c r="P38" t="s">
        <v>21</v>
      </c>
      <c r="Q38" t="s">
        <v>22</v>
      </c>
    </row>
    <row r="39" spans="1:17" x14ac:dyDescent="0.35">
      <c r="A39">
        <v>38</v>
      </c>
      <c r="B39" t="s">
        <v>149</v>
      </c>
      <c r="C39" t="s">
        <v>150</v>
      </c>
      <c r="D39" t="s">
        <v>1316</v>
      </c>
      <c r="E39">
        <v>46</v>
      </c>
      <c r="F39" t="str">
        <f t="shared" si="0"/>
        <v>senior</v>
      </c>
      <c r="G39" t="s">
        <v>151</v>
      </c>
      <c r="H39" t="str">
        <f t="shared" si="1"/>
        <v>Apr</v>
      </c>
      <c r="I39" t="s">
        <v>31</v>
      </c>
      <c r="J39" t="s">
        <v>37</v>
      </c>
      <c r="K39" t="s">
        <v>19</v>
      </c>
      <c r="L39" t="s">
        <v>66</v>
      </c>
      <c r="M39">
        <v>4</v>
      </c>
      <c r="N39" t="str">
        <f t="shared" si="2"/>
        <v>low</v>
      </c>
      <c r="O39">
        <v>2332</v>
      </c>
      <c r="P39" t="s">
        <v>79</v>
      </c>
      <c r="Q39" t="s">
        <v>80</v>
      </c>
    </row>
    <row r="40" spans="1:17" x14ac:dyDescent="0.35">
      <c r="A40">
        <v>39</v>
      </c>
      <c r="B40" t="s">
        <v>152</v>
      </c>
      <c r="C40" t="s">
        <v>153</v>
      </c>
      <c r="D40" t="s">
        <v>1315</v>
      </c>
      <c r="E40">
        <v>26</v>
      </c>
      <c r="F40" t="str">
        <f t="shared" si="0"/>
        <v>adult</v>
      </c>
      <c r="G40" t="s">
        <v>120</v>
      </c>
      <c r="H40" t="str">
        <f t="shared" si="1"/>
        <v>Jun</v>
      </c>
      <c r="I40" t="s">
        <v>31</v>
      </c>
      <c r="J40" t="s">
        <v>37</v>
      </c>
      <c r="K40" t="s">
        <v>19</v>
      </c>
      <c r="L40" t="s">
        <v>32</v>
      </c>
      <c r="M40">
        <v>4</v>
      </c>
      <c r="N40" t="str">
        <f t="shared" si="2"/>
        <v>high</v>
      </c>
      <c r="O40">
        <v>3304</v>
      </c>
      <c r="P40" t="s">
        <v>27</v>
      </c>
      <c r="Q40" t="s">
        <v>22</v>
      </c>
    </row>
    <row r="41" spans="1:17" x14ac:dyDescent="0.35">
      <c r="A41">
        <v>40</v>
      </c>
      <c r="B41" t="s">
        <v>154</v>
      </c>
      <c r="C41" t="s">
        <v>155</v>
      </c>
      <c r="D41" t="s">
        <v>1315</v>
      </c>
      <c r="E41">
        <v>54</v>
      </c>
      <c r="F41" t="str">
        <f t="shared" si="0"/>
        <v>senior</v>
      </c>
      <c r="G41" t="s">
        <v>156</v>
      </c>
      <c r="H41" t="str">
        <f t="shared" si="1"/>
        <v>Jan</v>
      </c>
      <c r="I41" t="s">
        <v>17</v>
      </c>
      <c r="J41" t="s">
        <v>56</v>
      </c>
      <c r="K41" t="s">
        <v>38</v>
      </c>
      <c r="L41" t="s">
        <v>20</v>
      </c>
      <c r="M41">
        <v>1</v>
      </c>
      <c r="N41" t="str">
        <f t="shared" si="2"/>
        <v>low</v>
      </c>
      <c r="O41">
        <v>1185</v>
      </c>
      <c r="P41" t="s">
        <v>27</v>
      </c>
      <c r="Q41" t="s">
        <v>22</v>
      </c>
    </row>
    <row r="42" spans="1:17" x14ac:dyDescent="0.35">
      <c r="A42">
        <v>41</v>
      </c>
      <c r="B42" t="s">
        <v>157</v>
      </c>
      <c r="C42" t="s">
        <v>158</v>
      </c>
      <c r="D42" t="s">
        <v>1316</v>
      </c>
      <c r="E42">
        <v>40</v>
      </c>
      <c r="F42" t="str">
        <f t="shared" si="0"/>
        <v>adult</v>
      </c>
      <c r="G42" t="s">
        <v>159</v>
      </c>
      <c r="H42" t="str">
        <f t="shared" si="1"/>
        <v>Apr</v>
      </c>
      <c r="I42" t="s">
        <v>17</v>
      </c>
      <c r="J42" t="s">
        <v>56</v>
      </c>
      <c r="K42" t="s">
        <v>19</v>
      </c>
      <c r="L42" t="s">
        <v>20</v>
      </c>
      <c r="M42">
        <v>5</v>
      </c>
      <c r="N42" t="str">
        <f t="shared" si="2"/>
        <v>high</v>
      </c>
      <c r="O42">
        <v>11215</v>
      </c>
      <c r="P42" t="s">
        <v>40</v>
      </c>
      <c r="Q42" t="s">
        <v>22</v>
      </c>
    </row>
    <row r="43" spans="1:17" x14ac:dyDescent="0.35">
      <c r="A43">
        <v>42</v>
      </c>
      <c r="B43" t="s">
        <v>160</v>
      </c>
      <c r="C43" t="s">
        <v>161</v>
      </c>
      <c r="D43" t="s">
        <v>1315</v>
      </c>
      <c r="E43">
        <v>40</v>
      </c>
      <c r="F43" t="str">
        <f t="shared" si="0"/>
        <v>adult</v>
      </c>
      <c r="G43" t="s">
        <v>16</v>
      </c>
      <c r="H43" t="str">
        <f t="shared" si="1"/>
        <v>Apr</v>
      </c>
      <c r="I43" t="s">
        <v>17</v>
      </c>
      <c r="J43" t="s">
        <v>18</v>
      </c>
      <c r="K43" t="s">
        <v>49</v>
      </c>
      <c r="L43" t="s">
        <v>39</v>
      </c>
      <c r="M43">
        <v>2</v>
      </c>
      <c r="N43" t="str">
        <f t="shared" si="2"/>
        <v>high</v>
      </c>
      <c r="O43">
        <v>3498</v>
      </c>
      <c r="P43" t="s">
        <v>21</v>
      </c>
      <c r="Q43" t="s">
        <v>22</v>
      </c>
    </row>
    <row r="44" spans="1:17" x14ac:dyDescent="0.35">
      <c r="A44">
        <v>43</v>
      </c>
      <c r="B44" t="s">
        <v>162</v>
      </c>
      <c r="C44" t="s">
        <v>163</v>
      </c>
      <c r="D44" t="s">
        <v>1315</v>
      </c>
      <c r="E44">
        <v>40</v>
      </c>
      <c r="F44" t="str">
        <f t="shared" si="0"/>
        <v>adult</v>
      </c>
      <c r="G44" t="s">
        <v>164</v>
      </c>
      <c r="H44" t="str">
        <f t="shared" si="1"/>
        <v>Jun</v>
      </c>
      <c r="I44" t="s">
        <v>17</v>
      </c>
      <c r="J44" t="s">
        <v>18</v>
      </c>
      <c r="K44" t="s">
        <v>38</v>
      </c>
      <c r="L44" t="s">
        <v>32</v>
      </c>
      <c r="M44">
        <v>3</v>
      </c>
      <c r="N44" t="str">
        <f t="shared" si="2"/>
        <v>high</v>
      </c>
      <c r="O44">
        <v>5631</v>
      </c>
      <c r="P44" t="s">
        <v>57</v>
      </c>
      <c r="Q44" t="s">
        <v>58</v>
      </c>
    </row>
    <row r="45" spans="1:17" x14ac:dyDescent="0.35">
      <c r="A45">
        <v>44</v>
      </c>
      <c r="B45" t="s">
        <v>165</v>
      </c>
      <c r="C45" t="s">
        <v>166</v>
      </c>
      <c r="D45" t="s">
        <v>1316</v>
      </c>
      <c r="E45">
        <v>25</v>
      </c>
      <c r="F45" t="str">
        <f t="shared" si="0"/>
        <v>adult</v>
      </c>
      <c r="G45" t="s">
        <v>167</v>
      </c>
      <c r="H45" t="str">
        <f t="shared" si="1"/>
        <v>Feb</v>
      </c>
      <c r="I45" t="s">
        <v>26</v>
      </c>
      <c r="J45" t="s">
        <v>56</v>
      </c>
      <c r="K45" t="s">
        <v>19</v>
      </c>
      <c r="L45" t="s">
        <v>32</v>
      </c>
      <c r="M45">
        <v>3</v>
      </c>
      <c r="N45" t="str">
        <f t="shared" si="2"/>
        <v>high</v>
      </c>
      <c r="O45">
        <v>8745</v>
      </c>
      <c r="P45" t="s">
        <v>44</v>
      </c>
      <c r="Q45" t="s">
        <v>45</v>
      </c>
    </row>
    <row r="46" spans="1:17" x14ac:dyDescent="0.35">
      <c r="A46">
        <v>45</v>
      </c>
      <c r="B46" t="s">
        <v>168</v>
      </c>
      <c r="C46" t="s">
        <v>169</v>
      </c>
      <c r="D46" t="s">
        <v>1316</v>
      </c>
      <c r="E46">
        <v>49</v>
      </c>
      <c r="F46" t="str">
        <f t="shared" si="0"/>
        <v>senior</v>
      </c>
      <c r="G46" t="s">
        <v>170</v>
      </c>
      <c r="H46" t="str">
        <f t="shared" si="1"/>
        <v>Mar</v>
      </c>
      <c r="I46" t="s">
        <v>26</v>
      </c>
      <c r="J46" t="s">
        <v>56</v>
      </c>
      <c r="K46" t="s">
        <v>49</v>
      </c>
      <c r="L46" t="s">
        <v>32</v>
      </c>
      <c r="M46">
        <v>5</v>
      </c>
      <c r="N46" t="str">
        <f t="shared" si="2"/>
        <v>high</v>
      </c>
      <c r="O46">
        <v>13005</v>
      </c>
      <c r="P46" t="s">
        <v>40</v>
      </c>
      <c r="Q46" t="s">
        <v>22</v>
      </c>
    </row>
    <row r="47" spans="1:17" x14ac:dyDescent="0.35">
      <c r="A47">
        <v>46</v>
      </c>
      <c r="B47" t="s">
        <v>171</v>
      </c>
      <c r="C47" t="s">
        <v>172</v>
      </c>
      <c r="D47" t="s">
        <v>1315</v>
      </c>
      <c r="E47">
        <v>27</v>
      </c>
      <c r="F47" t="str">
        <f t="shared" si="0"/>
        <v>adult</v>
      </c>
      <c r="G47" t="s">
        <v>173</v>
      </c>
      <c r="H47" t="str">
        <f t="shared" si="1"/>
        <v>Jul</v>
      </c>
      <c r="I47" t="s">
        <v>26</v>
      </c>
      <c r="J47" t="s">
        <v>18</v>
      </c>
      <c r="K47" t="s">
        <v>19</v>
      </c>
      <c r="L47" t="s">
        <v>66</v>
      </c>
      <c r="M47">
        <v>5</v>
      </c>
      <c r="N47" t="str">
        <f t="shared" si="2"/>
        <v>high</v>
      </c>
      <c r="O47">
        <v>11945</v>
      </c>
      <c r="P47" t="s">
        <v>21</v>
      </c>
      <c r="Q47" t="s">
        <v>22</v>
      </c>
    </row>
    <row r="48" spans="1:17" x14ac:dyDescent="0.35">
      <c r="A48">
        <v>47</v>
      </c>
      <c r="B48" t="s">
        <v>174</v>
      </c>
      <c r="C48" t="s">
        <v>175</v>
      </c>
      <c r="D48" t="s">
        <v>1315</v>
      </c>
      <c r="E48">
        <v>45</v>
      </c>
      <c r="F48" t="str">
        <f t="shared" si="0"/>
        <v>adult</v>
      </c>
      <c r="G48" t="s">
        <v>176</v>
      </c>
      <c r="H48" t="str">
        <f t="shared" si="1"/>
        <v>Oct</v>
      </c>
      <c r="I48" t="s">
        <v>17</v>
      </c>
      <c r="J48" t="s">
        <v>37</v>
      </c>
      <c r="K48" t="s">
        <v>19</v>
      </c>
      <c r="L48" t="s">
        <v>39</v>
      </c>
      <c r="M48">
        <v>1</v>
      </c>
      <c r="N48" t="str">
        <f t="shared" si="2"/>
        <v>low</v>
      </c>
      <c r="O48">
        <v>2955</v>
      </c>
      <c r="P48" t="s">
        <v>21</v>
      </c>
      <c r="Q48" t="s">
        <v>22</v>
      </c>
    </row>
    <row r="49" spans="1:17" x14ac:dyDescent="0.35">
      <c r="A49">
        <v>48</v>
      </c>
      <c r="B49" t="s">
        <v>177</v>
      </c>
      <c r="C49" t="s">
        <v>178</v>
      </c>
      <c r="D49" t="s">
        <v>1315</v>
      </c>
      <c r="E49">
        <v>48</v>
      </c>
      <c r="F49" t="str">
        <f t="shared" si="0"/>
        <v>senior</v>
      </c>
      <c r="G49" t="s">
        <v>179</v>
      </c>
      <c r="H49" t="str">
        <f t="shared" si="1"/>
        <v>Jun</v>
      </c>
      <c r="I49" t="s">
        <v>26</v>
      </c>
      <c r="J49" t="s">
        <v>56</v>
      </c>
      <c r="K49" t="s">
        <v>49</v>
      </c>
      <c r="L49" t="s">
        <v>66</v>
      </c>
      <c r="M49">
        <v>1</v>
      </c>
      <c r="N49" t="str">
        <f t="shared" si="2"/>
        <v>low</v>
      </c>
      <c r="O49">
        <v>1963</v>
      </c>
      <c r="P49" t="s">
        <v>57</v>
      </c>
      <c r="Q49" t="s">
        <v>58</v>
      </c>
    </row>
    <row r="50" spans="1:17" x14ac:dyDescent="0.35">
      <c r="A50">
        <v>49</v>
      </c>
      <c r="B50" t="s">
        <v>180</v>
      </c>
      <c r="C50" t="s">
        <v>181</v>
      </c>
      <c r="D50" t="s">
        <v>1315</v>
      </c>
      <c r="E50">
        <v>46</v>
      </c>
      <c r="F50" t="str">
        <f t="shared" si="0"/>
        <v>senior</v>
      </c>
      <c r="G50" t="s">
        <v>182</v>
      </c>
      <c r="H50" t="str">
        <f t="shared" si="1"/>
        <v>Mar</v>
      </c>
      <c r="I50" t="s">
        <v>31</v>
      </c>
      <c r="J50" t="s">
        <v>18</v>
      </c>
      <c r="K50" t="s">
        <v>19</v>
      </c>
      <c r="L50" t="s">
        <v>20</v>
      </c>
      <c r="M50">
        <v>2</v>
      </c>
      <c r="N50" t="str">
        <f t="shared" si="2"/>
        <v>high</v>
      </c>
      <c r="O50">
        <v>4028</v>
      </c>
      <c r="P50" t="s">
        <v>40</v>
      </c>
      <c r="Q50" t="s">
        <v>22</v>
      </c>
    </row>
    <row r="51" spans="1:17" x14ac:dyDescent="0.35">
      <c r="A51">
        <v>50</v>
      </c>
      <c r="B51" t="s">
        <v>183</v>
      </c>
      <c r="C51" t="s">
        <v>184</v>
      </c>
      <c r="D51" t="s">
        <v>1315</v>
      </c>
      <c r="E51">
        <v>60</v>
      </c>
      <c r="F51" t="str">
        <f t="shared" si="0"/>
        <v>senior</v>
      </c>
      <c r="G51" t="s">
        <v>185</v>
      </c>
      <c r="H51" t="str">
        <f t="shared" si="1"/>
        <v>Oct</v>
      </c>
      <c r="I51" t="s">
        <v>26</v>
      </c>
      <c r="J51" t="s">
        <v>37</v>
      </c>
      <c r="K51" t="s">
        <v>62</v>
      </c>
      <c r="L51" t="s">
        <v>66</v>
      </c>
      <c r="M51">
        <v>2</v>
      </c>
      <c r="N51" t="str">
        <f t="shared" si="2"/>
        <v>high</v>
      </c>
      <c r="O51">
        <v>3940</v>
      </c>
      <c r="P51" t="s">
        <v>21</v>
      </c>
      <c r="Q51" t="s">
        <v>22</v>
      </c>
    </row>
    <row r="52" spans="1:17" x14ac:dyDescent="0.35">
      <c r="A52">
        <v>51</v>
      </c>
      <c r="B52" t="s">
        <v>186</v>
      </c>
      <c r="C52" t="s">
        <v>187</v>
      </c>
      <c r="D52" t="s">
        <v>1315</v>
      </c>
      <c r="E52">
        <v>37</v>
      </c>
      <c r="F52" t="str">
        <f t="shared" si="0"/>
        <v>adult</v>
      </c>
      <c r="G52" t="s">
        <v>188</v>
      </c>
      <c r="H52" t="str">
        <f t="shared" si="1"/>
        <v>Aug</v>
      </c>
      <c r="I52" t="s">
        <v>17</v>
      </c>
      <c r="J52" t="s">
        <v>37</v>
      </c>
      <c r="K52" t="s">
        <v>49</v>
      </c>
      <c r="L52" t="s">
        <v>20</v>
      </c>
      <c r="M52">
        <v>5</v>
      </c>
      <c r="N52" t="str">
        <f t="shared" si="2"/>
        <v>high</v>
      </c>
      <c r="O52">
        <v>3530</v>
      </c>
      <c r="P52" t="s">
        <v>57</v>
      </c>
      <c r="Q52" t="s">
        <v>58</v>
      </c>
    </row>
    <row r="53" spans="1:17" x14ac:dyDescent="0.35">
      <c r="A53">
        <v>52</v>
      </c>
      <c r="B53" t="s">
        <v>189</v>
      </c>
      <c r="C53" t="s">
        <v>190</v>
      </c>
      <c r="D53" t="s">
        <v>1316</v>
      </c>
      <c r="E53">
        <v>56</v>
      </c>
      <c r="F53" t="str">
        <f t="shared" si="0"/>
        <v>senior</v>
      </c>
      <c r="G53" t="s">
        <v>191</v>
      </c>
      <c r="H53" t="str">
        <f t="shared" si="1"/>
        <v>May</v>
      </c>
      <c r="I53" t="s">
        <v>31</v>
      </c>
      <c r="J53" t="s">
        <v>37</v>
      </c>
      <c r="K53" t="s">
        <v>19</v>
      </c>
      <c r="L53" t="s">
        <v>32</v>
      </c>
      <c r="M53">
        <v>1</v>
      </c>
      <c r="N53" t="str">
        <f t="shared" si="2"/>
        <v>low</v>
      </c>
      <c r="O53">
        <v>1107</v>
      </c>
      <c r="P53" t="s">
        <v>27</v>
      </c>
      <c r="Q53" t="s">
        <v>22</v>
      </c>
    </row>
    <row r="54" spans="1:17" x14ac:dyDescent="0.35">
      <c r="A54">
        <v>53</v>
      </c>
      <c r="B54" t="s">
        <v>192</v>
      </c>
      <c r="C54" t="s">
        <v>193</v>
      </c>
      <c r="D54" t="s">
        <v>1315</v>
      </c>
      <c r="E54">
        <v>54</v>
      </c>
      <c r="F54" t="str">
        <f t="shared" si="0"/>
        <v>senior</v>
      </c>
      <c r="G54" t="s">
        <v>194</v>
      </c>
      <c r="H54" t="str">
        <f t="shared" si="1"/>
        <v>Apr</v>
      </c>
      <c r="I54" t="s">
        <v>31</v>
      </c>
      <c r="J54" t="s">
        <v>56</v>
      </c>
      <c r="K54" t="s">
        <v>62</v>
      </c>
      <c r="L54" t="s">
        <v>66</v>
      </c>
      <c r="M54">
        <v>4</v>
      </c>
      <c r="N54" t="str">
        <f t="shared" si="2"/>
        <v>low</v>
      </c>
      <c r="O54">
        <v>2152</v>
      </c>
      <c r="P54" t="s">
        <v>57</v>
      </c>
      <c r="Q54" t="s">
        <v>58</v>
      </c>
    </row>
    <row r="55" spans="1:17" x14ac:dyDescent="0.35">
      <c r="A55">
        <v>54</v>
      </c>
      <c r="B55" t="s">
        <v>195</v>
      </c>
      <c r="C55" t="s">
        <v>196</v>
      </c>
      <c r="D55" t="s">
        <v>1315</v>
      </c>
      <c r="E55">
        <v>59</v>
      </c>
      <c r="F55" t="str">
        <f t="shared" si="0"/>
        <v>senior</v>
      </c>
      <c r="G55" t="s">
        <v>197</v>
      </c>
      <c r="H55" t="str">
        <f t="shared" si="1"/>
        <v>Jul</v>
      </c>
      <c r="I55" t="s">
        <v>26</v>
      </c>
      <c r="J55" t="s">
        <v>18</v>
      </c>
      <c r="K55" t="s">
        <v>49</v>
      </c>
      <c r="L55" t="s">
        <v>32</v>
      </c>
      <c r="M55">
        <v>3</v>
      </c>
      <c r="N55" t="str">
        <f t="shared" si="2"/>
        <v>high</v>
      </c>
      <c r="O55">
        <v>8556</v>
      </c>
      <c r="P55" t="s">
        <v>40</v>
      </c>
      <c r="Q55" t="s">
        <v>22</v>
      </c>
    </row>
    <row r="56" spans="1:17" x14ac:dyDescent="0.35">
      <c r="A56">
        <v>55</v>
      </c>
      <c r="B56" t="s">
        <v>198</v>
      </c>
      <c r="C56" t="s">
        <v>199</v>
      </c>
      <c r="D56" t="s">
        <v>1315</v>
      </c>
      <c r="E56">
        <v>20</v>
      </c>
      <c r="F56" t="str">
        <f t="shared" si="0"/>
        <v>teen</v>
      </c>
      <c r="G56" t="s">
        <v>200</v>
      </c>
      <c r="H56" t="str">
        <f t="shared" si="1"/>
        <v>Dec</v>
      </c>
      <c r="I56" t="s">
        <v>17</v>
      </c>
      <c r="J56" t="s">
        <v>18</v>
      </c>
      <c r="K56" t="s">
        <v>19</v>
      </c>
      <c r="L56" t="s">
        <v>32</v>
      </c>
      <c r="M56">
        <v>1</v>
      </c>
      <c r="N56" t="str">
        <f t="shared" si="2"/>
        <v>low</v>
      </c>
      <c r="O56">
        <v>2798</v>
      </c>
      <c r="P56" t="s">
        <v>40</v>
      </c>
      <c r="Q56" t="s">
        <v>22</v>
      </c>
    </row>
    <row r="57" spans="1:17" x14ac:dyDescent="0.35">
      <c r="A57">
        <v>56</v>
      </c>
      <c r="B57" t="s">
        <v>201</v>
      </c>
      <c r="C57" t="s">
        <v>202</v>
      </c>
      <c r="D57" t="s">
        <v>1316</v>
      </c>
      <c r="E57">
        <v>46</v>
      </c>
      <c r="F57" t="str">
        <f t="shared" si="0"/>
        <v>senior</v>
      </c>
      <c r="G57" t="s">
        <v>55</v>
      </c>
      <c r="H57" t="str">
        <f t="shared" si="1"/>
        <v>Aug</v>
      </c>
      <c r="I57" t="s">
        <v>17</v>
      </c>
      <c r="J57" t="s">
        <v>56</v>
      </c>
      <c r="K57" t="s">
        <v>62</v>
      </c>
      <c r="L57" t="s">
        <v>20</v>
      </c>
      <c r="M57">
        <v>5</v>
      </c>
      <c r="N57" t="str">
        <f t="shared" si="2"/>
        <v>low</v>
      </c>
      <c r="O57">
        <v>2505</v>
      </c>
      <c r="P57" t="s">
        <v>33</v>
      </c>
      <c r="Q57" t="s">
        <v>33</v>
      </c>
    </row>
    <row r="58" spans="1:17" x14ac:dyDescent="0.35">
      <c r="A58">
        <v>57</v>
      </c>
      <c r="B58" t="s">
        <v>203</v>
      </c>
      <c r="C58" t="s">
        <v>204</v>
      </c>
      <c r="D58" t="s">
        <v>1315</v>
      </c>
      <c r="E58">
        <v>27</v>
      </c>
      <c r="F58" t="str">
        <f t="shared" si="0"/>
        <v>adult</v>
      </c>
      <c r="G58" t="s">
        <v>205</v>
      </c>
      <c r="H58" t="str">
        <f t="shared" si="1"/>
        <v>Nov</v>
      </c>
      <c r="I58" t="s">
        <v>31</v>
      </c>
      <c r="J58" t="s">
        <v>18</v>
      </c>
      <c r="K58" t="s">
        <v>49</v>
      </c>
      <c r="L58" t="s">
        <v>32</v>
      </c>
      <c r="M58">
        <v>2</v>
      </c>
      <c r="N58" t="str">
        <f t="shared" si="2"/>
        <v>low</v>
      </c>
      <c r="O58">
        <v>1454</v>
      </c>
      <c r="P58" t="s">
        <v>27</v>
      </c>
      <c r="Q58" t="s">
        <v>22</v>
      </c>
    </row>
    <row r="59" spans="1:17" x14ac:dyDescent="0.35">
      <c r="A59">
        <v>58</v>
      </c>
      <c r="B59" t="s">
        <v>206</v>
      </c>
      <c r="C59" t="s">
        <v>207</v>
      </c>
      <c r="D59" t="s">
        <v>1316</v>
      </c>
      <c r="E59">
        <v>46</v>
      </c>
      <c r="F59" t="str">
        <f t="shared" si="0"/>
        <v>senior</v>
      </c>
      <c r="G59" t="s">
        <v>208</v>
      </c>
      <c r="H59" t="str">
        <f t="shared" si="1"/>
        <v>Apr</v>
      </c>
      <c r="I59" t="s">
        <v>17</v>
      </c>
      <c r="J59" t="s">
        <v>18</v>
      </c>
      <c r="K59" t="s">
        <v>49</v>
      </c>
      <c r="L59" t="s">
        <v>66</v>
      </c>
      <c r="M59">
        <v>4</v>
      </c>
      <c r="N59" t="str">
        <f t="shared" si="2"/>
        <v>high</v>
      </c>
      <c r="O59">
        <v>3968</v>
      </c>
      <c r="P59" t="s">
        <v>33</v>
      </c>
      <c r="Q59" t="s">
        <v>33</v>
      </c>
    </row>
    <row r="60" spans="1:17" x14ac:dyDescent="0.35">
      <c r="A60">
        <v>59</v>
      </c>
      <c r="B60" t="s">
        <v>209</v>
      </c>
      <c r="C60" t="s">
        <v>210</v>
      </c>
      <c r="D60" t="s">
        <v>1315</v>
      </c>
      <c r="E60">
        <v>24</v>
      </c>
      <c r="F60" t="str">
        <f t="shared" si="0"/>
        <v>teen</v>
      </c>
      <c r="G60" t="s">
        <v>211</v>
      </c>
      <c r="H60" t="str">
        <f t="shared" si="1"/>
        <v>Apr</v>
      </c>
      <c r="I60" t="s">
        <v>31</v>
      </c>
      <c r="J60" t="s">
        <v>56</v>
      </c>
      <c r="K60" t="s">
        <v>49</v>
      </c>
      <c r="L60" t="s">
        <v>66</v>
      </c>
      <c r="M60">
        <v>3</v>
      </c>
      <c r="N60" t="str">
        <f t="shared" si="2"/>
        <v>high</v>
      </c>
      <c r="O60">
        <v>3117</v>
      </c>
      <c r="P60" t="s">
        <v>21</v>
      </c>
      <c r="Q60" t="s">
        <v>22</v>
      </c>
    </row>
    <row r="61" spans="1:17" x14ac:dyDescent="0.35">
      <c r="A61">
        <v>60</v>
      </c>
      <c r="B61" t="s">
        <v>212</v>
      </c>
      <c r="C61" t="s">
        <v>213</v>
      </c>
      <c r="D61" t="s">
        <v>1315</v>
      </c>
      <c r="E61">
        <v>44</v>
      </c>
      <c r="F61" t="str">
        <f t="shared" si="0"/>
        <v>adult</v>
      </c>
      <c r="G61" t="s">
        <v>214</v>
      </c>
      <c r="H61" t="str">
        <f t="shared" si="1"/>
        <v>Dec</v>
      </c>
      <c r="I61" t="s">
        <v>17</v>
      </c>
      <c r="J61" t="s">
        <v>56</v>
      </c>
      <c r="K61" t="s">
        <v>38</v>
      </c>
      <c r="L61" t="s">
        <v>66</v>
      </c>
      <c r="M61">
        <v>4</v>
      </c>
      <c r="N61" t="str">
        <f t="shared" si="2"/>
        <v>high</v>
      </c>
      <c r="O61">
        <v>7880</v>
      </c>
      <c r="P61" t="s">
        <v>99</v>
      </c>
      <c r="Q61" t="s">
        <v>100</v>
      </c>
    </row>
    <row r="62" spans="1:17" x14ac:dyDescent="0.35">
      <c r="A62">
        <v>61</v>
      </c>
      <c r="B62" t="s">
        <v>215</v>
      </c>
      <c r="C62" t="s">
        <v>216</v>
      </c>
      <c r="D62" t="s">
        <v>1316</v>
      </c>
      <c r="E62">
        <v>51</v>
      </c>
      <c r="F62" t="str">
        <f t="shared" si="0"/>
        <v>senior</v>
      </c>
      <c r="G62" t="s">
        <v>217</v>
      </c>
      <c r="H62" t="str">
        <f t="shared" si="1"/>
        <v>Feb</v>
      </c>
      <c r="I62" t="s">
        <v>31</v>
      </c>
      <c r="J62" t="s">
        <v>56</v>
      </c>
      <c r="K62" t="s">
        <v>62</v>
      </c>
      <c r="L62" t="s">
        <v>66</v>
      </c>
      <c r="M62">
        <v>2</v>
      </c>
      <c r="N62" t="str">
        <f t="shared" si="2"/>
        <v>high</v>
      </c>
      <c r="O62">
        <v>5402</v>
      </c>
      <c r="P62" t="s">
        <v>57</v>
      </c>
      <c r="Q62" t="s">
        <v>58</v>
      </c>
    </row>
    <row r="63" spans="1:17" x14ac:dyDescent="0.35">
      <c r="A63">
        <v>62</v>
      </c>
      <c r="B63" t="s">
        <v>218</v>
      </c>
      <c r="C63" t="s">
        <v>219</v>
      </c>
      <c r="D63" t="s">
        <v>1315</v>
      </c>
      <c r="E63">
        <v>51</v>
      </c>
      <c r="F63" t="str">
        <f t="shared" si="0"/>
        <v>senior</v>
      </c>
      <c r="G63" t="s">
        <v>220</v>
      </c>
      <c r="H63" t="str">
        <f t="shared" si="1"/>
        <v>Feb</v>
      </c>
      <c r="I63" t="s">
        <v>26</v>
      </c>
      <c r="J63" t="s">
        <v>56</v>
      </c>
      <c r="K63" t="s">
        <v>49</v>
      </c>
      <c r="L63" t="s">
        <v>39</v>
      </c>
      <c r="M63">
        <v>4</v>
      </c>
      <c r="N63" t="str">
        <f t="shared" si="2"/>
        <v>high</v>
      </c>
      <c r="O63">
        <v>8180</v>
      </c>
      <c r="P63" t="s">
        <v>21</v>
      </c>
      <c r="Q63" t="s">
        <v>22</v>
      </c>
    </row>
    <row r="64" spans="1:17" x14ac:dyDescent="0.35">
      <c r="A64">
        <v>63</v>
      </c>
      <c r="B64" t="s">
        <v>221</v>
      </c>
      <c r="C64" t="s">
        <v>222</v>
      </c>
      <c r="D64" t="s">
        <v>1316</v>
      </c>
      <c r="E64">
        <v>54</v>
      </c>
      <c r="F64" t="str">
        <f t="shared" si="0"/>
        <v>senior</v>
      </c>
      <c r="G64" t="s">
        <v>148</v>
      </c>
      <c r="H64" t="str">
        <f t="shared" si="1"/>
        <v>Jul</v>
      </c>
      <c r="I64" t="s">
        <v>17</v>
      </c>
      <c r="J64" t="s">
        <v>56</v>
      </c>
      <c r="K64" t="s">
        <v>62</v>
      </c>
      <c r="L64" t="s">
        <v>39</v>
      </c>
      <c r="M64">
        <v>4</v>
      </c>
      <c r="N64" t="str">
        <f t="shared" si="2"/>
        <v>high</v>
      </c>
      <c r="O64">
        <v>11656</v>
      </c>
      <c r="P64" t="s">
        <v>99</v>
      </c>
      <c r="Q64" t="s">
        <v>100</v>
      </c>
    </row>
    <row r="65" spans="1:17" x14ac:dyDescent="0.35">
      <c r="A65">
        <v>64</v>
      </c>
      <c r="B65" t="s">
        <v>223</v>
      </c>
      <c r="C65" t="s">
        <v>224</v>
      </c>
      <c r="D65" t="s">
        <v>1316</v>
      </c>
      <c r="E65">
        <v>21</v>
      </c>
      <c r="F65" t="str">
        <f t="shared" si="0"/>
        <v>teen</v>
      </c>
      <c r="G65" t="s">
        <v>225</v>
      </c>
      <c r="H65" t="str">
        <f t="shared" si="1"/>
        <v>Apr</v>
      </c>
      <c r="I65" t="s">
        <v>31</v>
      </c>
      <c r="J65" t="s">
        <v>56</v>
      </c>
      <c r="K65" t="s">
        <v>38</v>
      </c>
      <c r="L65" t="s">
        <v>32</v>
      </c>
      <c r="M65">
        <v>1</v>
      </c>
      <c r="N65" t="str">
        <f t="shared" si="2"/>
        <v>low</v>
      </c>
      <c r="O65">
        <v>1954</v>
      </c>
      <c r="P65" t="s">
        <v>79</v>
      </c>
      <c r="Q65" t="s">
        <v>80</v>
      </c>
    </row>
    <row r="66" spans="1:17" x14ac:dyDescent="0.35">
      <c r="A66">
        <v>65</v>
      </c>
      <c r="B66" t="s">
        <v>226</v>
      </c>
      <c r="C66" t="s">
        <v>227</v>
      </c>
      <c r="D66" t="s">
        <v>1316</v>
      </c>
      <c r="E66">
        <v>41</v>
      </c>
      <c r="F66" t="str">
        <f t="shared" si="0"/>
        <v>adult</v>
      </c>
      <c r="G66" t="s">
        <v>228</v>
      </c>
      <c r="H66" t="str">
        <f t="shared" si="1"/>
        <v>Dec</v>
      </c>
      <c r="I66" t="s">
        <v>26</v>
      </c>
      <c r="J66" t="s">
        <v>37</v>
      </c>
      <c r="K66" t="s">
        <v>19</v>
      </c>
      <c r="L66" t="s">
        <v>20</v>
      </c>
      <c r="M66">
        <v>5</v>
      </c>
      <c r="N66" t="str">
        <f t="shared" si="2"/>
        <v>high</v>
      </c>
      <c r="O66">
        <v>14245</v>
      </c>
      <c r="P66" t="s">
        <v>33</v>
      </c>
      <c r="Q66" t="s">
        <v>33</v>
      </c>
    </row>
    <row r="67" spans="1:17" x14ac:dyDescent="0.35">
      <c r="A67">
        <v>66</v>
      </c>
      <c r="B67" t="s">
        <v>229</v>
      </c>
      <c r="C67" t="s">
        <v>230</v>
      </c>
      <c r="D67" t="s">
        <v>1315</v>
      </c>
      <c r="E67">
        <v>52</v>
      </c>
      <c r="F67" t="str">
        <f t="shared" ref="F67:F130" si="3">IF(E67&gt;45,"senior",IF(E67&gt;=25,"adult","teen"))</f>
        <v>senior</v>
      </c>
      <c r="G67" t="s">
        <v>231</v>
      </c>
      <c r="H67" t="str">
        <f t="shared" ref="H67:H130" si="4">TEXT(G67,"mmm")</f>
        <v>Jan</v>
      </c>
      <c r="I67" t="s">
        <v>26</v>
      </c>
      <c r="J67" t="s">
        <v>56</v>
      </c>
      <c r="K67" t="s">
        <v>38</v>
      </c>
      <c r="L67" t="s">
        <v>32</v>
      </c>
      <c r="M67">
        <v>3</v>
      </c>
      <c r="N67" t="str">
        <f t="shared" ref="N67:N130" si="5">IF(O67&gt;=3000,"high",IF(O67&gt;=500,"low","medium"))</f>
        <v>low</v>
      </c>
      <c r="O67">
        <v>2322</v>
      </c>
      <c r="P67" t="s">
        <v>57</v>
      </c>
      <c r="Q67" t="s">
        <v>58</v>
      </c>
    </row>
    <row r="68" spans="1:17" x14ac:dyDescent="0.35">
      <c r="A68">
        <v>67</v>
      </c>
      <c r="B68" t="s">
        <v>232</v>
      </c>
      <c r="C68" t="s">
        <v>233</v>
      </c>
      <c r="D68" t="s">
        <v>1315</v>
      </c>
      <c r="E68">
        <v>31</v>
      </c>
      <c r="F68" t="str">
        <f t="shared" si="3"/>
        <v>adult</v>
      </c>
      <c r="G68" t="s">
        <v>234</v>
      </c>
      <c r="H68" t="str">
        <f t="shared" si="4"/>
        <v>Oct</v>
      </c>
      <c r="I68" t="s">
        <v>31</v>
      </c>
      <c r="J68" t="s">
        <v>18</v>
      </c>
      <c r="K68" t="s">
        <v>38</v>
      </c>
      <c r="L68" t="s">
        <v>66</v>
      </c>
      <c r="M68">
        <v>3</v>
      </c>
      <c r="N68" t="str">
        <f t="shared" si="5"/>
        <v>high</v>
      </c>
      <c r="O68">
        <v>8298</v>
      </c>
      <c r="P68" t="s">
        <v>44</v>
      </c>
      <c r="Q68" t="s">
        <v>45</v>
      </c>
    </row>
    <row r="69" spans="1:17" x14ac:dyDescent="0.35">
      <c r="A69">
        <v>68</v>
      </c>
      <c r="B69" t="s">
        <v>235</v>
      </c>
      <c r="C69" t="s">
        <v>236</v>
      </c>
      <c r="D69" t="s">
        <v>1316</v>
      </c>
      <c r="E69">
        <v>18</v>
      </c>
      <c r="F69" t="str">
        <f t="shared" si="3"/>
        <v>teen</v>
      </c>
      <c r="G69" t="s">
        <v>237</v>
      </c>
      <c r="H69" t="str">
        <f t="shared" si="4"/>
        <v>Mar</v>
      </c>
      <c r="I69" t="s">
        <v>26</v>
      </c>
      <c r="J69" t="s">
        <v>56</v>
      </c>
      <c r="K69" t="s">
        <v>49</v>
      </c>
      <c r="L69" t="s">
        <v>20</v>
      </c>
      <c r="M69">
        <v>2</v>
      </c>
      <c r="N69" t="str">
        <f t="shared" si="5"/>
        <v>low</v>
      </c>
      <c r="O69">
        <v>2854</v>
      </c>
      <c r="P69" t="s">
        <v>79</v>
      </c>
      <c r="Q69" t="s">
        <v>80</v>
      </c>
    </row>
    <row r="70" spans="1:17" x14ac:dyDescent="0.35">
      <c r="A70">
        <v>69</v>
      </c>
      <c r="B70" t="s">
        <v>238</v>
      </c>
      <c r="C70" t="s">
        <v>239</v>
      </c>
      <c r="D70" t="s">
        <v>1316</v>
      </c>
      <c r="E70">
        <v>55</v>
      </c>
      <c r="F70" t="str">
        <f t="shared" si="3"/>
        <v>senior</v>
      </c>
      <c r="G70" t="s">
        <v>240</v>
      </c>
      <c r="H70" t="str">
        <f t="shared" si="4"/>
        <v>Dec</v>
      </c>
      <c r="I70" t="s">
        <v>26</v>
      </c>
      <c r="J70" t="s">
        <v>56</v>
      </c>
      <c r="K70" t="s">
        <v>49</v>
      </c>
      <c r="L70" t="s">
        <v>20</v>
      </c>
      <c r="M70">
        <v>1</v>
      </c>
      <c r="N70" t="str">
        <f t="shared" si="5"/>
        <v>low</v>
      </c>
      <c r="O70">
        <v>1667</v>
      </c>
      <c r="P70" t="s">
        <v>57</v>
      </c>
      <c r="Q70" t="s">
        <v>58</v>
      </c>
    </row>
    <row r="71" spans="1:17" x14ac:dyDescent="0.35">
      <c r="A71">
        <v>70</v>
      </c>
      <c r="B71" t="s">
        <v>241</v>
      </c>
      <c r="C71" t="s">
        <v>242</v>
      </c>
      <c r="D71" t="s">
        <v>1315</v>
      </c>
      <c r="E71">
        <v>42</v>
      </c>
      <c r="F71" t="str">
        <f t="shared" si="3"/>
        <v>adult</v>
      </c>
      <c r="G71" t="s">
        <v>243</v>
      </c>
      <c r="H71" t="str">
        <f t="shared" si="4"/>
        <v>Dec</v>
      </c>
      <c r="I71" t="s">
        <v>26</v>
      </c>
      <c r="J71" t="s">
        <v>18</v>
      </c>
      <c r="K71" t="s">
        <v>19</v>
      </c>
      <c r="L71" t="s">
        <v>20</v>
      </c>
      <c r="M71">
        <v>5</v>
      </c>
      <c r="N71" t="str">
        <f t="shared" si="5"/>
        <v>high</v>
      </c>
      <c r="O71">
        <v>4505</v>
      </c>
      <c r="P71" t="s">
        <v>21</v>
      </c>
      <c r="Q71" t="s">
        <v>22</v>
      </c>
    </row>
    <row r="72" spans="1:17" x14ac:dyDescent="0.35">
      <c r="A72">
        <v>71</v>
      </c>
      <c r="B72" t="s">
        <v>244</v>
      </c>
      <c r="C72" t="s">
        <v>245</v>
      </c>
      <c r="D72" t="s">
        <v>1315</v>
      </c>
      <c r="E72">
        <v>30</v>
      </c>
      <c r="F72" t="str">
        <f t="shared" si="3"/>
        <v>adult</v>
      </c>
      <c r="G72" t="s">
        <v>246</v>
      </c>
      <c r="H72" t="str">
        <f t="shared" si="4"/>
        <v>May</v>
      </c>
      <c r="I72" t="s">
        <v>17</v>
      </c>
      <c r="J72" t="s">
        <v>56</v>
      </c>
      <c r="K72" t="s">
        <v>19</v>
      </c>
      <c r="L72" t="s">
        <v>20</v>
      </c>
      <c r="M72">
        <v>4</v>
      </c>
      <c r="N72" t="str">
        <f t="shared" si="5"/>
        <v>high</v>
      </c>
      <c r="O72">
        <v>11612</v>
      </c>
      <c r="P72" t="s">
        <v>57</v>
      </c>
      <c r="Q72" t="s">
        <v>58</v>
      </c>
    </row>
    <row r="73" spans="1:17" x14ac:dyDescent="0.35">
      <c r="A73">
        <v>72</v>
      </c>
      <c r="B73" t="s">
        <v>247</v>
      </c>
      <c r="C73" t="s">
        <v>248</v>
      </c>
      <c r="D73" t="s">
        <v>1316</v>
      </c>
      <c r="E73">
        <v>25</v>
      </c>
      <c r="F73" t="str">
        <f t="shared" si="3"/>
        <v>adult</v>
      </c>
      <c r="G73" t="s">
        <v>249</v>
      </c>
      <c r="H73" t="str">
        <f t="shared" si="4"/>
        <v>Aug</v>
      </c>
      <c r="I73" t="s">
        <v>17</v>
      </c>
      <c r="J73" t="s">
        <v>56</v>
      </c>
      <c r="K73" t="s">
        <v>38</v>
      </c>
      <c r="L73" t="s">
        <v>32</v>
      </c>
      <c r="M73">
        <v>1</v>
      </c>
      <c r="N73" t="str">
        <f t="shared" si="5"/>
        <v>low</v>
      </c>
      <c r="O73">
        <v>2835</v>
      </c>
      <c r="P73" t="s">
        <v>40</v>
      </c>
      <c r="Q73" t="s">
        <v>22</v>
      </c>
    </row>
    <row r="74" spans="1:17" x14ac:dyDescent="0.35">
      <c r="A74">
        <v>73</v>
      </c>
      <c r="B74" t="s">
        <v>250</v>
      </c>
      <c r="C74" t="s">
        <v>251</v>
      </c>
      <c r="D74" t="s">
        <v>1315</v>
      </c>
      <c r="E74">
        <v>32</v>
      </c>
      <c r="F74" t="str">
        <f t="shared" si="3"/>
        <v>adult</v>
      </c>
      <c r="G74" t="s">
        <v>231</v>
      </c>
      <c r="H74" t="str">
        <f t="shared" si="4"/>
        <v>Jan</v>
      </c>
      <c r="I74" t="s">
        <v>31</v>
      </c>
      <c r="J74" t="s">
        <v>37</v>
      </c>
      <c r="K74" t="s">
        <v>49</v>
      </c>
      <c r="L74" t="s">
        <v>39</v>
      </c>
      <c r="M74">
        <v>5</v>
      </c>
      <c r="N74" t="str">
        <f t="shared" si="5"/>
        <v>high</v>
      </c>
      <c r="O74">
        <v>9415</v>
      </c>
      <c r="P74" t="s">
        <v>57</v>
      </c>
      <c r="Q74" t="s">
        <v>58</v>
      </c>
    </row>
    <row r="75" spans="1:17" x14ac:dyDescent="0.35">
      <c r="A75">
        <v>74</v>
      </c>
      <c r="B75" t="s">
        <v>252</v>
      </c>
      <c r="C75" t="s">
        <v>253</v>
      </c>
      <c r="D75" t="s">
        <v>1316</v>
      </c>
      <c r="E75">
        <v>19</v>
      </c>
      <c r="F75" t="str">
        <f t="shared" si="3"/>
        <v>teen</v>
      </c>
      <c r="G75" t="s">
        <v>254</v>
      </c>
      <c r="H75" t="str">
        <f t="shared" si="4"/>
        <v>Jan</v>
      </c>
      <c r="I75" t="s">
        <v>17</v>
      </c>
      <c r="J75" t="s">
        <v>56</v>
      </c>
      <c r="K75" t="s">
        <v>62</v>
      </c>
      <c r="L75" t="s">
        <v>20</v>
      </c>
      <c r="M75">
        <v>4</v>
      </c>
      <c r="N75" t="str">
        <f t="shared" si="5"/>
        <v>low</v>
      </c>
      <c r="O75">
        <v>2972</v>
      </c>
      <c r="P75" t="s">
        <v>44</v>
      </c>
      <c r="Q75" t="s">
        <v>45</v>
      </c>
    </row>
    <row r="76" spans="1:17" x14ac:dyDescent="0.35">
      <c r="A76">
        <v>75</v>
      </c>
      <c r="B76" t="s">
        <v>255</v>
      </c>
      <c r="C76" t="s">
        <v>256</v>
      </c>
      <c r="D76" t="s">
        <v>1316</v>
      </c>
      <c r="E76">
        <v>49</v>
      </c>
      <c r="F76" t="str">
        <f t="shared" si="3"/>
        <v>senior</v>
      </c>
      <c r="G76" t="s">
        <v>257</v>
      </c>
      <c r="H76" t="str">
        <f t="shared" si="4"/>
        <v>May</v>
      </c>
      <c r="I76" t="s">
        <v>31</v>
      </c>
      <c r="J76" t="s">
        <v>37</v>
      </c>
      <c r="K76" t="s">
        <v>49</v>
      </c>
      <c r="L76" t="s">
        <v>20</v>
      </c>
      <c r="M76">
        <v>1</v>
      </c>
      <c r="N76" t="str">
        <f t="shared" si="5"/>
        <v>low</v>
      </c>
      <c r="O76">
        <v>802</v>
      </c>
      <c r="P76" t="s">
        <v>21</v>
      </c>
      <c r="Q76" t="s">
        <v>22</v>
      </c>
    </row>
    <row r="77" spans="1:17" x14ac:dyDescent="0.35">
      <c r="A77">
        <v>76</v>
      </c>
      <c r="B77" t="s">
        <v>258</v>
      </c>
      <c r="C77" t="s">
        <v>259</v>
      </c>
      <c r="D77" t="s">
        <v>1316</v>
      </c>
      <c r="E77">
        <v>56</v>
      </c>
      <c r="F77" t="str">
        <f t="shared" si="3"/>
        <v>senior</v>
      </c>
      <c r="G77" t="s">
        <v>260</v>
      </c>
      <c r="H77" t="str">
        <f t="shared" si="4"/>
        <v>Jan</v>
      </c>
      <c r="I77" t="s">
        <v>31</v>
      </c>
      <c r="J77" t="s">
        <v>18</v>
      </c>
      <c r="K77" t="s">
        <v>49</v>
      </c>
      <c r="L77" t="s">
        <v>32</v>
      </c>
      <c r="M77">
        <v>4</v>
      </c>
      <c r="N77" t="str">
        <f t="shared" si="5"/>
        <v>high</v>
      </c>
      <c r="O77">
        <v>8040</v>
      </c>
      <c r="P77" t="s">
        <v>44</v>
      </c>
      <c r="Q77" t="s">
        <v>45</v>
      </c>
    </row>
    <row r="78" spans="1:17" x14ac:dyDescent="0.35">
      <c r="A78">
        <v>77</v>
      </c>
      <c r="B78" t="s">
        <v>261</v>
      </c>
      <c r="C78" t="s">
        <v>262</v>
      </c>
      <c r="D78" t="s">
        <v>1316</v>
      </c>
      <c r="E78">
        <v>18</v>
      </c>
      <c r="F78" t="str">
        <f t="shared" si="3"/>
        <v>teen</v>
      </c>
      <c r="G78" t="s">
        <v>263</v>
      </c>
      <c r="H78" t="str">
        <f t="shared" si="4"/>
        <v>Feb</v>
      </c>
      <c r="I78" t="s">
        <v>26</v>
      </c>
      <c r="J78" t="s">
        <v>18</v>
      </c>
      <c r="K78" t="s">
        <v>62</v>
      </c>
      <c r="L78" t="s">
        <v>39</v>
      </c>
      <c r="M78">
        <v>5</v>
      </c>
      <c r="N78" t="str">
        <f t="shared" si="5"/>
        <v>high</v>
      </c>
      <c r="O78">
        <v>10840</v>
      </c>
      <c r="P78" t="s">
        <v>21</v>
      </c>
      <c r="Q78" t="s">
        <v>22</v>
      </c>
    </row>
    <row r="79" spans="1:17" x14ac:dyDescent="0.35">
      <c r="A79">
        <v>78</v>
      </c>
      <c r="B79" t="s">
        <v>264</v>
      </c>
      <c r="C79" t="s">
        <v>265</v>
      </c>
      <c r="D79" t="s">
        <v>1315</v>
      </c>
      <c r="E79">
        <v>26</v>
      </c>
      <c r="F79" t="str">
        <f t="shared" si="3"/>
        <v>adult</v>
      </c>
      <c r="G79" t="s">
        <v>266</v>
      </c>
      <c r="H79" t="str">
        <f t="shared" si="4"/>
        <v>Apr</v>
      </c>
      <c r="I79" t="s">
        <v>26</v>
      </c>
      <c r="J79" t="s">
        <v>56</v>
      </c>
      <c r="K79" t="s">
        <v>49</v>
      </c>
      <c r="L79" t="s">
        <v>32</v>
      </c>
      <c r="M79">
        <v>4</v>
      </c>
      <c r="N79" t="str">
        <f t="shared" si="5"/>
        <v>high</v>
      </c>
      <c r="O79">
        <v>4328</v>
      </c>
      <c r="P79" t="s">
        <v>79</v>
      </c>
      <c r="Q79" t="s">
        <v>80</v>
      </c>
    </row>
    <row r="80" spans="1:17" x14ac:dyDescent="0.35">
      <c r="A80">
        <v>79</v>
      </c>
      <c r="B80" t="s">
        <v>267</v>
      </c>
      <c r="C80" t="s">
        <v>268</v>
      </c>
      <c r="D80" t="s">
        <v>1316</v>
      </c>
      <c r="E80">
        <v>44</v>
      </c>
      <c r="F80" t="str">
        <f t="shared" si="3"/>
        <v>adult</v>
      </c>
      <c r="G80" t="s">
        <v>269</v>
      </c>
      <c r="H80" t="str">
        <f t="shared" si="4"/>
        <v>Nov</v>
      </c>
      <c r="I80" t="s">
        <v>31</v>
      </c>
      <c r="J80" t="s">
        <v>56</v>
      </c>
      <c r="K80" t="s">
        <v>38</v>
      </c>
      <c r="L80" t="s">
        <v>66</v>
      </c>
      <c r="M80">
        <v>5</v>
      </c>
      <c r="N80" t="str">
        <f t="shared" si="5"/>
        <v>high</v>
      </c>
      <c r="O80">
        <v>3005</v>
      </c>
      <c r="P80" t="s">
        <v>21</v>
      </c>
      <c r="Q80" t="s">
        <v>22</v>
      </c>
    </row>
    <row r="81" spans="1:17" x14ac:dyDescent="0.35">
      <c r="A81">
        <v>80</v>
      </c>
      <c r="B81" t="s">
        <v>270</v>
      </c>
      <c r="C81" t="s">
        <v>271</v>
      </c>
      <c r="D81" t="s">
        <v>1316</v>
      </c>
      <c r="E81">
        <v>60</v>
      </c>
      <c r="F81" t="str">
        <f t="shared" si="3"/>
        <v>senior</v>
      </c>
      <c r="G81" t="s">
        <v>272</v>
      </c>
      <c r="H81" t="str">
        <f t="shared" si="4"/>
        <v>Dec</v>
      </c>
      <c r="I81" t="s">
        <v>31</v>
      </c>
      <c r="J81" t="s">
        <v>56</v>
      </c>
      <c r="K81" t="s">
        <v>62</v>
      </c>
      <c r="L81" t="s">
        <v>32</v>
      </c>
      <c r="M81">
        <v>3</v>
      </c>
      <c r="N81" t="str">
        <f t="shared" si="5"/>
        <v>high</v>
      </c>
      <c r="O81">
        <v>3042</v>
      </c>
      <c r="P81" t="s">
        <v>21</v>
      </c>
      <c r="Q81" t="s">
        <v>22</v>
      </c>
    </row>
    <row r="82" spans="1:17" x14ac:dyDescent="0.35">
      <c r="A82">
        <v>81</v>
      </c>
      <c r="B82" t="s">
        <v>273</v>
      </c>
      <c r="C82" t="s">
        <v>274</v>
      </c>
      <c r="D82" t="s">
        <v>1315</v>
      </c>
      <c r="E82">
        <v>30</v>
      </c>
      <c r="F82" t="str">
        <f t="shared" si="3"/>
        <v>adult</v>
      </c>
      <c r="G82" t="s">
        <v>275</v>
      </c>
      <c r="H82" t="str">
        <f t="shared" si="4"/>
        <v>Feb</v>
      </c>
      <c r="I82" t="s">
        <v>31</v>
      </c>
      <c r="J82" t="s">
        <v>37</v>
      </c>
      <c r="K82" t="s">
        <v>19</v>
      </c>
      <c r="L82" t="s">
        <v>32</v>
      </c>
      <c r="M82">
        <v>2</v>
      </c>
      <c r="N82" t="str">
        <f t="shared" si="5"/>
        <v>low</v>
      </c>
      <c r="O82">
        <v>2466</v>
      </c>
      <c r="P82" t="s">
        <v>99</v>
      </c>
      <c r="Q82" t="s">
        <v>100</v>
      </c>
    </row>
    <row r="83" spans="1:17" x14ac:dyDescent="0.35">
      <c r="A83">
        <v>82</v>
      </c>
      <c r="B83" t="s">
        <v>276</v>
      </c>
      <c r="C83" t="s">
        <v>277</v>
      </c>
      <c r="D83" t="s">
        <v>1316</v>
      </c>
      <c r="E83">
        <v>32</v>
      </c>
      <c r="F83" t="str">
        <f t="shared" si="3"/>
        <v>adult</v>
      </c>
      <c r="G83" t="s">
        <v>95</v>
      </c>
      <c r="H83" t="str">
        <f t="shared" si="4"/>
        <v>Sep</v>
      </c>
      <c r="I83" t="s">
        <v>31</v>
      </c>
      <c r="J83" t="s">
        <v>56</v>
      </c>
      <c r="K83" t="s">
        <v>38</v>
      </c>
      <c r="L83" t="s">
        <v>32</v>
      </c>
      <c r="M83">
        <v>5</v>
      </c>
      <c r="N83" t="str">
        <f t="shared" si="5"/>
        <v>high</v>
      </c>
      <c r="O83">
        <v>3750</v>
      </c>
      <c r="P83" t="s">
        <v>99</v>
      </c>
      <c r="Q83" t="s">
        <v>100</v>
      </c>
    </row>
    <row r="84" spans="1:17" x14ac:dyDescent="0.35">
      <c r="A84">
        <v>83</v>
      </c>
      <c r="B84" t="s">
        <v>278</v>
      </c>
      <c r="C84" t="s">
        <v>279</v>
      </c>
      <c r="D84" t="s">
        <v>1316</v>
      </c>
      <c r="E84">
        <v>54</v>
      </c>
      <c r="F84" t="str">
        <f t="shared" si="3"/>
        <v>senior</v>
      </c>
      <c r="G84" t="s">
        <v>280</v>
      </c>
      <c r="H84" t="str">
        <f t="shared" si="4"/>
        <v>Feb</v>
      </c>
      <c r="I84" t="s">
        <v>31</v>
      </c>
      <c r="J84" t="s">
        <v>37</v>
      </c>
      <c r="K84" t="s">
        <v>38</v>
      </c>
      <c r="L84" t="s">
        <v>39</v>
      </c>
      <c r="M84">
        <v>4</v>
      </c>
      <c r="N84" t="str">
        <f t="shared" si="5"/>
        <v>high</v>
      </c>
      <c r="O84">
        <v>5528</v>
      </c>
      <c r="P84" t="s">
        <v>33</v>
      </c>
      <c r="Q84" t="s">
        <v>33</v>
      </c>
    </row>
    <row r="85" spans="1:17" x14ac:dyDescent="0.35">
      <c r="A85">
        <v>84</v>
      </c>
      <c r="B85" t="s">
        <v>281</v>
      </c>
      <c r="C85" t="s">
        <v>282</v>
      </c>
      <c r="D85" t="s">
        <v>1315</v>
      </c>
      <c r="E85">
        <v>25</v>
      </c>
      <c r="F85" t="str">
        <f t="shared" si="3"/>
        <v>adult</v>
      </c>
      <c r="G85" t="s">
        <v>283</v>
      </c>
      <c r="H85" t="str">
        <f t="shared" si="4"/>
        <v>Mar</v>
      </c>
      <c r="I85" t="s">
        <v>17</v>
      </c>
      <c r="J85" t="s">
        <v>37</v>
      </c>
      <c r="K85" t="s">
        <v>62</v>
      </c>
      <c r="L85" t="s">
        <v>39</v>
      </c>
      <c r="M85">
        <v>1</v>
      </c>
      <c r="N85" t="str">
        <f t="shared" si="5"/>
        <v>low</v>
      </c>
      <c r="O85">
        <v>2574</v>
      </c>
      <c r="P85" t="s">
        <v>44</v>
      </c>
      <c r="Q85" t="s">
        <v>45</v>
      </c>
    </row>
    <row r="86" spans="1:17" x14ac:dyDescent="0.35">
      <c r="A86">
        <v>85</v>
      </c>
      <c r="B86" t="s">
        <v>284</v>
      </c>
      <c r="C86" t="s">
        <v>285</v>
      </c>
      <c r="D86" t="s">
        <v>1315</v>
      </c>
      <c r="E86">
        <v>39</v>
      </c>
      <c r="F86" t="str">
        <f t="shared" si="3"/>
        <v>adult</v>
      </c>
      <c r="G86" t="s">
        <v>286</v>
      </c>
      <c r="H86" t="str">
        <f t="shared" si="4"/>
        <v>Mar</v>
      </c>
      <c r="I86" t="s">
        <v>31</v>
      </c>
      <c r="J86" t="s">
        <v>56</v>
      </c>
      <c r="K86" t="s">
        <v>19</v>
      </c>
      <c r="L86" t="s">
        <v>39</v>
      </c>
      <c r="M86">
        <v>1</v>
      </c>
      <c r="N86" t="str">
        <f t="shared" si="5"/>
        <v>low</v>
      </c>
      <c r="O86">
        <v>2143</v>
      </c>
      <c r="P86" t="s">
        <v>44</v>
      </c>
      <c r="Q86" t="s">
        <v>45</v>
      </c>
    </row>
    <row r="87" spans="1:17" x14ac:dyDescent="0.35">
      <c r="A87">
        <v>86</v>
      </c>
      <c r="B87" t="s">
        <v>287</v>
      </c>
      <c r="C87" t="s">
        <v>288</v>
      </c>
      <c r="D87" t="s">
        <v>1316</v>
      </c>
      <c r="E87">
        <v>26</v>
      </c>
      <c r="F87" t="str">
        <f t="shared" si="3"/>
        <v>adult</v>
      </c>
      <c r="G87" t="s">
        <v>289</v>
      </c>
      <c r="H87" t="str">
        <f t="shared" si="4"/>
        <v>Nov</v>
      </c>
      <c r="I87" t="s">
        <v>26</v>
      </c>
      <c r="J87" t="s">
        <v>37</v>
      </c>
      <c r="K87" t="s">
        <v>62</v>
      </c>
      <c r="L87" t="s">
        <v>20</v>
      </c>
      <c r="M87">
        <v>3</v>
      </c>
      <c r="N87" t="str">
        <f t="shared" si="5"/>
        <v>high</v>
      </c>
      <c r="O87">
        <v>5076</v>
      </c>
      <c r="P87" t="s">
        <v>99</v>
      </c>
      <c r="Q87" t="s">
        <v>100</v>
      </c>
    </row>
    <row r="88" spans="1:17" x14ac:dyDescent="0.35">
      <c r="A88">
        <v>87</v>
      </c>
      <c r="B88" t="s">
        <v>290</v>
      </c>
      <c r="C88" t="s">
        <v>291</v>
      </c>
      <c r="D88" t="s">
        <v>1316</v>
      </c>
      <c r="E88">
        <v>38</v>
      </c>
      <c r="F88" t="str">
        <f t="shared" si="3"/>
        <v>adult</v>
      </c>
      <c r="G88" t="s">
        <v>292</v>
      </c>
      <c r="H88" t="str">
        <f t="shared" si="4"/>
        <v>Aug</v>
      </c>
      <c r="I88" t="s">
        <v>17</v>
      </c>
      <c r="J88" t="s">
        <v>56</v>
      </c>
      <c r="K88" t="s">
        <v>19</v>
      </c>
      <c r="L88" t="s">
        <v>32</v>
      </c>
      <c r="M88">
        <v>4</v>
      </c>
      <c r="N88" t="str">
        <f t="shared" si="5"/>
        <v>high</v>
      </c>
      <c r="O88">
        <v>11632</v>
      </c>
      <c r="P88" t="s">
        <v>44</v>
      </c>
      <c r="Q88" t="s">
        <v>45</v>
      </c>
    </row>
    <row r="89" spans="1:17" x14ac:dyDescent="0.35">
      <c r="A89">
        <v>88</v>
      </c>
      <c r="B89" t="s">
        <v>293</v>
      </c>
      <c r="C89" t="s">
        <v>294</v>
      </c>
      <c r="D89" t="s">
        <v>1316</v>
      </c>
      <c r="E89">
        <v>26</v>
      </c>
      <c r="F89" t="str">
        <f t="shared" si="3"/>
        <v>adult</v>
      </c>
      <c r="G89" t="s">
        <v>295</v>
      </c>
      <c r="H89" t="str">
        <f t="shared" si="4"/>
        <v>Dec</v>
      </c>
      <c r="I89" t="s">
        <v>26</v>
      </c>
      <c r="J89" t="s">
        <v>18</v>
      </c>
      <c r="K89" t="s">
        <v>49</v>
      </c>
      <c r="L89" t="s">
        <v>39</v>
      </c>
      <c r="M89">
        <v>3</v>
      </c>
      <c r="N89" t="str">
        <f t="shared" si="5"/>
        <v>low</v>
      </c>
      <c r="O89">
        <v>1587</v>
      </c>
      <c r="P89" t="s">
        <v>79</v>
      </c>
      <c r="Q89" t="s">
        <v>80</v>
      </c>
    </row>
    <row r="90" spans="1:17" x14ac:dyDescent="0.35">
      <c r="A90">
        <v>89</v>
      </c>
      <c r="B90" t="s">
        <v>296</v>
      </c>
      <c r="C90" t="s">
        <v>297</v>
      </c>
      <c r="D90" t="s">
        <v>1315</v>
      </c>
      <c r="E90">
        <v>24</v>
      </c>
      <c r="F90" t="str">
        <f t="shared" si="3"/>
        <v>teen</v>
      </c>
      <c r="G90" t="s">
        <v>298</v>
      </c>
      <c r="H90" t="str">
        <f t="shared" si="4"/>
        <v>May</v>
      </c>
      <c r="I90" t="s">
        <v>17</v>
      </c>
      <c r="J90" t="s">
        <v>37</v>
      </c>
      <c r="K90" t="s">
        <v>19</v>
      </c>
      <c r="L90" t="s">
        <v>20</v>
      </c>
      <c r="M90">
        <v>1</v>
      </c>
      <c r="N90" t="str">
        <f t="shared" si="5"/>
        <v>low</v>
      </c>
      <c r="O90">
        <v>1682</v>
      </c>
      <c r="P90" t="s">
        <v>57</v>
      </c>
      <c r="Q90" t="s">
        <v>58</v>
      </c>
    </row>
    <row r="91" spans="1:17" x14ac:dyDescent="0.35">
      <c r="A91">
        <v>90</v>
      </c>
      <c r="B91" t="s">
        <v>299</v>
      </c>
      <c r="C91" t="s">
        <v>300</v>
      </c>
      <c r="D91" t="s">
        <v>1315</v>
      </c>
      <c r="E91">
        <v>52</v>
      </c>
      <c r="F91" t="str">
        <f t="shared" si="3"/>
        <v>senior</v>
      </c>
      <c r="G91" t="s">
        <v>301</v>
      </c>
      <c r="H91" t="str">
        <f t="shared" si="4"/>
        <v>Mar</v>
      </c>
      <c r="I91" t="s">
        <v>17</v>
      </c>
      <c r="J91" t="s">
        <v>18</v>
      </c>
      <c r="K91" t="s">
        <v>49</v>
      </c>
      <c r="L91" t="s">
        <v>32</v>
      </c>
      <c r="M91">
        <v>4</v>
      </c>
      <c r="N91" t="str">
        <f t="shared" si="5"/>
        <v>high</v>
      </c>
      <c r="O91">
        <v>6340</v>
      </c>
      <c r="P91" t="s">
        <v>27</v>
      </c>
      <c r="Q91" t="s">
        <v>22</v>
      </c>
    </row>
    <row r="92" spans="1:17" x14ac:dyDescent="0.35">
      <c r="A92">
        <v>91</v>
      </c>
      <c r="B92" t="s">
        <v>302</v>
      </c>
      <c r="C92" t="s">
        <v>303</v>
      </c>
      <c r="D92" t="s">
        <v>1315</v>
      </c>
      <c r="E92">
        <v>47</v>
      </c>
      <c r="F92" t="str">
        <f t="shared" si="3"/>
        <v>senior</v>
      </c>
      <c r="G92" t="s">
        <v>304</v>
      </c>
      <c r="H92" t="str">
        <f t="shared" si="4"/>
        <v>Jul</v>
      </c>
      <c r="I92" t="s">
        <v>26</v>
      </c>
      <c r="J92" t="s">
        <v>18</v>
      </c>
      <c r="K92" t="s">
        <v>19</v>
      </c>
      <c r="L92" t="s">
        <v>20</v>
      </c>
      <c r="M92">
        <v>2</v>
      </c>
      <c r="N92" t="str">
        <f t="shared" si="5"/>
        <v>high</v>
      </c>
      <c r="O92">
        <v>4164</v>
      </c>
      <c r="P92" t="s">
        <v>27</v>
      </c>
      <c r="Q92" t="s">
        <v>22</v>
      </c>
    </row>
    <row r="93" spans="1:17" x14ac:dyDescent="0.35">
      <c r="A93">
        <v>92</v>
      </c>
      <c r="B93" t="s">
        <v>305</v>
      </c>
      <c r="C93" t="s">
        <v>306</v>
      </c>
      <c r="D93" t="s">
        <v>1315</v>
      </c>
      <c r="E93">
        <v>56</v>
      </c>
      <c r="F93" t="str">
        <f t="shared" si="3"/>
        <v>senior</v>
      </c>
      <c r="G93" t="s">
        <v>307</v>
      </c>
      <c r="H93" t="str">
        <f t="shared" si="4"/>
        <v>Jul</v>
      </c>
      <c r="I93" t="s">
        <v>17</v>
      </c>
      <c r="J93" t="s">
        <v>18</v>
      </c>
      <c r="K93" t="s">
        <v>38</v>
      </c>
      <c r="L93" t="s">
        <v>32</v>
      </c>
      <c r="M93">
        <v>2</v>
      </c>
      <c r="N93" t="str">
        <f t="shared" si="5"/>
        <v>high</v>
      </c>
      <c r="O93">
        <v>5416</v>
      </c>
      <c r="P93" t="s">
        <v>79</v>
      </c>
      <c r="Q93" t="s">
        <v>80</v>
      </c>
    </row>
    <row r="94" spans="1:17" x14ac:dyDescent="0.35">
      <c r="A94">
        <v>93</v>
      </c>
      <c r="B94" t="s">
        <v>308</v>
      </c>
      <c r="C94" t="s">
        <v>309</v>
      </c>
      <c r="D94" t="s">
        <v>1315</v>
      </c>
      <c r="E94">
        <v>39</v>
      </c>
      <c r="F94" t="str">
        <f t="shared" si="3"/>
        <v>adult</v>
      </c>
      <c r="G94" t="s">
        <v>310</v>
      </c>
      <c r="H94" t="str">
        <f t="shared" si="4"/>
        <v>Mar</v>
      </c>
      <c r="I94" t="s">
        <v>31</v>
      </c>
      <c r="J94" t="s">
        <v>18</v>
      </c>
      <c r="K94" t="s">
        <v>62</v>
      </c>
      <c r="L94" t="s">
        <v>20</v>
      </c>
      <c r="M94">
        <v>5</v>
      </c>
      <c r="N94" t="str">
        <f t="shared" si="5"/>
        <v>high</v>
      </c>
      <c r="O94">
        <v>7765</v>
      </c>
      <c r="P94" t="s">
        <v>27</v>
      </c>
      <c r="Q94" t="s">
        <v>22</v>
      </c>
    </row>
    <row r="95" spans="1:17" x14ac:dyDescent="0.35">
      <c r="A95">
        <v>94</v>
      </c>
      <c r="B95" t="s">
        <v>311</v>
      </c>
      <c r="C95" t="s">
        <v>312</v>
      </c>
      <c r="D95" t="s">
        <v>1315</v>
      </c>
      <c r="E95">
        <v>52</v>
      </c>
      <c r="F95" t="str">
        <f t="shared" si="3"/>
        <v>senior</v>
      </c>
      <c r="G95" t="s">
        <v>313</v>
      </c>
      <c r="H95" t="str">
        <f t="shared" si="4"/>
        <v>May</v>
      </c>
      <c r="I95" t="s">
        <v>17</v>
      </c>
      <c r="J95" t="s">
        <v>37</v>
      </c>
      <c r="K95" t="s">
        <v>19</v>
      </c>
      <c r="L95" t="s">
        <v>39</v>
      </c>
      <c r="M95">
        <v>4</v>
      </c>
      <c r="N95" t="str">
        <f t="shared" si="5"/>
        <v>high</v>
      </c>
      <c r="O95">
        <v>10424</v>
      </c>
      <c r="P95" t="s">
        <v>44</v>
      </c>
      <c r="Q95" t="s">
        <v>45</v>
      </c>
    </row>
    <row r="96" spans="1:17" x14ac:dyDescent="0.35">
      <c r="A96">
        <v>95</v>
      </c>
      <c r="B96" t="s">
        <v>314</v>
      </c>
      <c r="C96" t="s">
        <v>315</v>
      </c>
      <c r="D96" t="s">
        <v>1316</v>
      </c>
      <c r="E96">
        <v>27</v>
      </c>
      <c r="F96" t="str">
        <f t="shared" si="3"/>
        <v>adult</v>
      </c>
      <c r="G96" t="s">
        <v>316</v>
      </c>
      <c r="H96" t="str">
        <f t="shared" si="4"/>
        <v>Apr</v>
      </c>
      <c r="I96" t="s">
        <v>31</v>
      </c>
      <c r="J96" t="s">
        <v>37</v>
      </c>
      <c r="K96" t="s">
        <v>62</v>
      </c>
      <c r="L96" t="s">
        <v>20</v>
      </c>
      <c r="M96">
        <v>2</v>
      </c>
      <c r="N96" t="str">
        <f t="shared" si="5"/>
        <v>high</v>
      </c>
      <c r="O96">
        <v>5614</v>
      </c>
      <c r="P96" t="s">
        <v>44</v>
      </c>
      <c r="Q96" t="s">
        <v>45</v>
      </c>
    </row>
    <row r="97" spans="1:17" x14ac:dyDescent="0.35">
      <c r="A97">
        <v>96</v>
      </c>
      <c r="B97" t="s">
        <v>317</v>
      </c>
      <c r="C97" t="s">
        <v>318</v>
      </c>
      <c r="D97" t="s">
        <v>1315</v>
      </c>
      <c r="E97">
        <v>26</v>
      </c>
      <c r="F97" t="str">
        <f t="shared" si="3"/>
        <v>adult</v>
      </c>
      <c r="G97" t="s">
        <v>319</v>
      </c>
      <c r="H97" t="str">
        <f t="shared" si="4"/>
        <v>Jan</v>
      </c>
      <c r="I97" t="s">
        <v>31</v>
      </c>
      <c r="J97" t="s">
        <v>56</v>
      </c>
      <c r="K97" t="s">
        <v>38</v>
      </c>
      <c r="L97" t="s">
        <v>32</v>
      </c>
      <c r="M97">
        <v>2</v>
      </c>
      <c r="N97" t="str">
        <f t="shared" si="5"/>
        <v>high</v>
      </c>
      <c r="O97">
        <v>3838</v>
      </c>
      <c r="P97" t="s">
        <v>57</v>
      </c>
      <c r="Q97" t="s">
        <v>58</v>
      </c>
    </row>
    <row r="98" spans="1:17" x14ac:dyDescent="0.35">
      <c r="A98">
        <v>97</v>
      </c>
      <c r="B98" t="s">
        <v>320</v>
      </c>
      <c r="C98" t="s">
        <v>321</v>
      </c>
      <c r="D98" t="s">
        <v>1315</v>
      </c>
      <c r="E98">
        <v>56</v>
      </c>
      <c r="F98" t="str">
        <f t="shared" si="3"/>
        <v>senior</v>
      </c>
      <c r="G98" t="s">
        <v>164</v>
      </c>
      <c r="H98" t="str">
        <f t="shared" si="4"/>
        <v>Jun</v>
      </c>
      <c r="I98" t="s">
        <v>17</v>
      </c>
      <c r="J98" t="s">
        <v>18</v>
      </c>
      <c r="K98" t="s">
        <v>62</v>
      </c>
      <c r="L98" t="s">
        <v>20</v>
      </c>
      <c r="M98">
        <v>4</v>
      </c>
      <c r="N98" t="str">
        <f t="shared" si="5"/>
        <v>high</v>
      </c>
      <c r="O98">
        <v>9900</v>
      </c>
      <c r="P98" t="s">
        <v>99</v>
      </c>
      <c r="Q98" t="s">
        <v>100</v>
      </c>
    </row>
    <row r="99" spans="1:17" x14ac:dyDescent="0.35">
      <c r="A99">
        <v>98</v>
      </c>
      <c r="B99" t="s">
        <v>322</v>
      </c>
      <c r="C99" t="s">
        <v>323</v>
      </c>
      <c r="D99" t="s">
        <v>1315</v>
      </c>
      <c r="E99">
        <v>25</v>
      </c>
      <c r="F99" t="str">
        <f t="shared" si="3"/>
        <v>adult</v>
      </c>
      <c r="G99" t="s">
        <v>254</v>
      </c>
      <c r="H99" t="str">
        <f t="shared" si="4"/>
        <v>Jan</v>
      </c>
      <c r="I99" t="s">
        <v>26</v>
      </c>
      <c r="J99" t="s">
        <v>18</v>
      </c>
      <c r="K99" t="s">
        <v>38</v>
      </c>
      <c r="L99" t="s">
        <v>32</v>
      </c>
      <c r="M99">
        <v>2</v>
      </c>
      <c r="N99" t="str">
        <f t="shared" si="5"/>
        <v>high</v>
      </c>
      <c r="O99">
        <v>5170</v>
      </c>
      <c r="P99" t="s">
        <v>99</v>
      </c>
      <c r="Q99" t="s">
        <v>100</v>
      </c>
    </row>
    <row r="100" spans="1:17" x14ac:dyDescent="0.35">
      <c r="A100">
        <v>99</v>
      </c>
      <c r="B100" t="s">
        <v>324</v>
      </c>
      <c r="C100" t="s">
        <v>325</v>
      </c>
      <c r="D100" t="s">
        <v>1315</v>
      </c>
      <c r="E100">
        <v>27</v>
      </c>
      <c r="F100" t="str">
        <f t="shared" si="3"/>
        <v>adult</v>
      </c>
      <c r="G100" t="s">
        <v>310</v>
      </c>
      <c r="H100" t="str">
        <f t="shared" si="4"/>
        <v>Mar</v>
      </c>
      <c r="I100" t="s">
        <v>31</v>
      </c>
      <c r="J100" t="s">
        <v>18</v>
      </c>
      <c r="K100" t="s">
        <v>49</v>
      </c>
      <c r="L100" t="s">
        <v>32</v>
      </c>
      <c r="M100">
        <v>4</v>
      </c>
      <c r="N100" t="str">
        <f t="shared" si="5"/>
        <v>high</v>
      </c>
      <c r="O100">
        <v>4868</v>
      </c>
      <c r="P100" t="s">
        <v>33</v>
      </c>
      <c r="Q100" t="s">
        <v>33</v>
      </c>
    </row>
    <row r="101" spans="1:17" x14ac:dyDescent="0.35">
      <c r="A101">
        <v>100</v>
      </c>
      <c r="B101" t="s">
        <v>326</v>
      </c>
      <c r="C101" t="s">
        <v>327</v>
      </c>
      <c r="D101" t="s">
        <v>1316</v>
      </c>
      <c r="E101">
        <v>42</v>
      </c>
      <c r="F101" t="str">
        <f t="shared" si="3"/>
        <v>adult</v>
      </c>
      <c r="G101" t="s">
        <v>328</v>
      </c>
      <c r="H101" t="str">
        <f t="shared" si="4"/>
        <v>Sep</v>
      </c>
      <c r="I101" t="s">
        <v>31</v>
      </c>
      <c r="J101" t="s">
        <v>56</v>
      </c>
      <c r="K101" t="s">
        <v>62</v>
      </c>
      <c r="L101" t="s">
        <v>20</v>
      </c>
      <c r="M101">
        <v>1</v>
      </c>
      <c r="N101" t="str">
        <f t="shared" si="5"/>
        <v>low</v>
      </c>
      <c r="O101">
        <v>2253</v>
      </c>
      <c r="P101" t="s">
        <v>40</v>
      </c>
      <c r="Q101" t="s">
        <v>22</v>
      </c>
    </row>
    <row r="102" spans="1:17" x14ac:dyDescent="0.35">
      <c r="A102">
        <v>101</v>
      </c>
      <c r="B102" t="s">
        <v>329</v>
      </c>
      <c r="C102" t="s">
        <v>330</v>
      </c>
      <c r="D102" t="s">
        <v>1316</v>
      </c>
      <c r="E102">
        <v>48</v>
      </c>
      <c r="F102" t="str">
        <f t="shared" si="3"/>
        <v>senior</v>
      </c>
      <c r="G102" t="s">
        <v>331</v>
      </c>
      <c r="H102" t="str">
        <f t="shared" si="4"/>
        <v>Aug</v>
      </c>
      <c r="I102" t="s">
        <v>26</v>
      </c>
      <c r="J102" t="s">
        <v>18</v>
      </c>
      <c r="K102" t="s">
        <v>38</v>
      </c>
      <c r="L102" t="s">
        <v>39</v>
      </c>
      <c r="M102">
        <v>3</v>
      </c>
      <c r="N102" t="str">
        <f t="shared" si="5"/>
        <v>high</v>
      </c>
      <c r="O102">
        <v>8256</v>
      </c>
      <c r="P102" t="s">
        <v>21</v>
      </c>
      <c r="Q102" t="s">
        <v>22</v>
      </c>
    </row>
    <row r="103" spans="1:17" x14ac:dyDescent="0.35">
      <c r="A103">
        <v>102</v>
      </c>
      <c r="B103" t="s">
        <v>332</v>
      </c>
      <c r="C103" t="s">
        <v>333</v>
      </c>
      <c r="D103" t="s">
        <v>1315</v>
      </c>
      <c r="E103">
        <v>24</v>
      </c>
      <c r="F103" t="str">
        <f t="shared" si="3"/>
        <v>teen</v>
      </c>
      <c r="G103" t="s">
        <v>313</v>
      </c>
      <c r="H103" t="str">
        <f t="shared" si="4"/>
        <v>May</v>
      </c>
      <c r="I103" t="s">
        <v>26</v>
      </c>
      <c r="J103" t="s">
        <v>18</v>
      </c>
      <c r="K103" t="s">
        <v>19</v>
      </c>
      <c r="L103" t="s">
        <v>32</v>
      </c>
      <c r="M103">
        <v>5</v>
      </c>
      <c r="N103" t="str">
        <f t="shared" si="5"/>
        <v>high</v>
      </c>
      <c r="O103">
        <v>11005</v>
      </c>
      <c r="P103" t="s">
        <v>27</v>
      </c>
      <c r="Q103" t="s">
        <v>22</v>
      </c>
    </row>
    <row r="104" spans="1:17" x14ac:dyDescent="0.35">
      <c r="A104">
        <v>103</v>
      </c>
      <c r="B104" t="s">
        <v>334</v>
      </c>
      <c r="C104" t="s">
        <v>335</v>
      </c>
      <c r="D104" t="s">
        <v>1316</v>
      </c>
      <c r="E104">
        <v>54</v>
      </c>
      <c r="F104" t="str">
        <f t="shared" si="3"/>
        <v>senior</v>
      </c>
      <c r="G104" t="s">
        <v>336</v>
      </c>
      <c r="H104" t="str">
        <f t="shared" si="4"/>
        <v>Feb</v>
      </c>
      <c r="I104" t="s">
        <v>17</v>
      </c>
      <c r="J104" t="s">
        <v>56</v>
      </c>
      <c r="K104" t="s">
        <v>19</v>
      </c>
      <c r="L104" t="s">
        <v>32</v>
      </c>
      <c r="M104">
        <v>1</v>
      </c>
      <c r="N104" t="str">
        <f t="shared" si="5"/>
        <v>low</v>
      </c>
      <c r="O104">
        <v>2324</v>
      </c>
      <c r="P104" t="s">
        <v>27</v>
      </c>
      <c r="Q104" t="s">
        <v>22</v>
      </c>
    </row>
    <row r="105" spans="1:17" x14ac:dyDescent="0.35">
      <c r="A105">
        <v>104</v>
      </c>
      <c r="B105" t="s">
        <v>337</v>
      </c>
      <c r="C105" t="s">
        <v>338</v>
      </c>
      <c r="D105" t="s">
        <v>1316</v>
      </c>
      <c r="E105">
        <v>22</v>
      </c>
      <c r="F105" t="str">
        <f t="shared" si="3"/>
        <v>teen</v>
      </c>
      <c r="G105" t="s">
        <v>339</v>
      </c>
      <c r="H105" t="str">
        <f t="shared" si="4"/>
        <v>Jul</v>
      </c>
      <c r="I105" t="s">
        <v>26</v>
      </c>
      <c r="J105" t="s">
        <v>37</v>
      </c>
      <c r="K105" t="s">
        <v>49</v>
      </c>
      <c r="L105" t="s">
        <v>20</v>
      </c>
      <c r="M105">
        <v>2</v>
      </c>
      <c r="N105" t="str">
        <f t="shared" si="5"/>
        <v>high</v>
      </c>
      <c r="O105">
        <v>4030</v>
      </c>
      <c r="P105" t="s">
        <v>57</v>
      </c>
      <c r="Q105" t="s">
        <v>58</v>
      </c>
    </row>
    <row r="106" spans="1:17" x14ac:dyDescent="0.35">
      <c r="A106">
        <v>105</v>
      </c>
      <c r="B106" t="s">
        <v>340</v>
      </c>
      <c r="C106" t="s">
        <v>341</v>
      </c>
      <c r="D106" t="s">
        <v>1315</v>
      </c>
      <c r="E106">
        <v>34</v>
      </c>
      <c r="F106" t="str">
        <f t="shared" si="3"/>
        <v>adult</v>
      </c>
      <c r="G106" t="s">
        <v>342</v>
      </c>
      <c r="H106" t="str">
        <f t="shared" si="4"/>
        <v>Dec</v>
      </c>
      <c r="I106" t="s">
        <v>17</v>
      </c>
      <c r="J106" t="s">
        <v>37</v>
      </c>
      <c r="K106" t="s">
        <v>38</v>
      </c>
      <c r="L106" t="s">
        <v>32</v>
      </c>
      <c r="M106">
        <v>5</v>
      </c>
      <c r="N106" t="str">
        <f t="shared" si="5"/>
        <v>high</v>
      </c>
      <c r="O106">
        <v>5565</v>
      </c>
      <c r="P106" t="s">
        <v>33</v>
      </c>
      <c r="Q106" t="s">
        <v>33</v>
      </c>
    </row>
    <row r="107" spans="1:17" x14ac:dyDescent="0.35">
      <c r="A107">
        <v>106</v>
      </c>
      <c r="B107" t="s">
        <v>343</v>
      </c>
      <c r="C107" t="s">
        <v>344</v>
      </c>
      <c r="D107" t="s">
        <v>1316</v>
      </c>
      <c r="E107">
        <v>24</v>
      </c>
      <c r="F107" t="str">
        <f t="shared" si="3"/>
        <v>teen</v>
      </c>
      <c r="G107" t="s">
        <v>220</v>
      </c>
      <c r="H107" t="str">
        <f t="shared" si="4"/>
        <v>Feb</v>
      </c>
      <c r="I107" t="s">
        <v>26</v>
      </c>
      <c r="J107" t="s">
        <v>18</v>
      </c>
      <c r="K107" t="s">
        <v>38</v>
      </c>
      <c r="L107" t="s">
        <v>32</v>
      </c>
      <c r="M107">
        <v>4</v>
      </c>
      <c r="N107" t="str">
        <f t="shared" si="5"/>
        <v>high</v>
      </c>
      <c r="O107">
        <v>7716</v>
      </c>
      <c r="P107" t="s">
        <v>79</v>
      </c>
      <c r="Q107" t="s">
        <v>80</v>
      </c>
    </row>
    <row r="108" spans="1:17" x14ac:dyDescent="0.35">
      <c r="A108">
        <v>107</v>
      </c>
      <c r="B108" t="s">
        <v>345</v>
      </c>
      <c r="C108" t="s">
        <v>346</v>
      </c>
      <c r="D108" t="s">
        <v>1316</v>
      </c>
      <c r="E108">
        <v>43</v>
      </c>
      <c r="F108" t="str">
        <f t="shared" si="3"/>
        <v>adult</v>
      </c>
      <c r="G108" t="s">
        <v>347</v>
      </c>
      <c r="H108" t="str">
        <f t="shared" si="4"/>
        <v>Aug</v>
      </c>
      <c r="I108" t="s">
        <v>31</v>
      </c>
      <c r="J108" t="s">
        <v>18</v>
      </c>
      <c r="K108" t="s">
        <v>62</v>
      </c>
      <c r="L108" t="s">
        <v>32</v>
      </c>
      <c r="M108">
        <v>5</v>
      </c>
      <c r="N108" t="str">
        <f t="shared" si="5"/>
        <v>high</v>
      </c>
      <c r="O108">
        <v>10580</v>
      </c>
      <c r="P108" t="s">
        <v>40</v>
      </c>
      <c r="Q108" t="s">
        <v>22</v>
      </c>
    </row>
    <row r="109" spans="1:17" x14ac:dyDescent="0.35">
      <c r="A109">
        <v>108</v>
      </c>
      <c r="B109" t="s">
        <v>348</v>
      </c>
      <c r="C109" t="s">
        <v>349</v>
      </c>
      <c r="D109" t="s">
        <v>1316</v>
      </c>
      <c r="E109">
        <v>55</v>
      </c>
      <c r="F109" t="str">
        <f t="shared" si="3"/>
        <v>senior</v>
      </c>
      <c r="G109" t="s">
        <v>292</v>
      </c>
      <c r="H109" t="str">
        <f t="shared" si="4"/>
        <v>Aug</v>
      </c>
      <c r="I109" t="s">
        <v>26</v>
      </c>
      <c r="J109" t="s">
        <v>18</v>
      </c>
      <c r="K109" t="s">
        <v>19</v>
      </c>
      <c r="L109" t="s">
        <v>39</v>
      </c>
      <c r="M109">
        <v>3</v>
      </c>
      <c r="N109" t="str">
        <f t="shared" si="5"/>
        <v>low</v>
      </c>
      <c r="O109">
        <v>1770</v>
      </c>
      <c r="P109" t="s">
        <v>40</v>
      </c>
      <c r="Q109" t="s">
        <v>22</v>
      </c>
    </row>
    <row r="110" spans="1:17" x14ac:dyDescent="0.35">
      <c r="A110">
        <v>109</v>
      </c>
      <c r="B110" t="s">
        <v>350</v>
      </c>
      <c r="C110" t="s">
        <v>351</v>
      </c>
      <c r="D110" t="s">
        <v>1316</v>
      </c>
      <c r="E110">
        <v>49</v>
      </c>
      <c r="F110" t="str">
        <f t="shared" si="3"/>
        <v>senior</v>
      </c>
      <c r="G110" t="s">
        <v>86</v>
      </c>
      <c r="H110" t="str">
        <f t="shared" si="4"/>
        <v>Jul</v>
      </c>
      <c r="I110" t="s">
        <v>31</v>
      </c>
      <c r="J110" t="s">
        <v>37</v>
      </c>
      <c r="K110" t="s">
        <v>49</v>
      </c>
      <c r="L110" t="s">
        <v>66</v>
      </c>
      <c r="M110">
        <v>1</v>
      </c>
      <c r="N110" t="str">
        <f t="shared" si="5"/>
        <v>low</v>
      </c>
      <c r="O110">
        <v>2048</v>
      </c>
      <c r="P110" t="s">
        <v>79</v>
      </c>
      <c r="Q110" t="s">
        <v>80</v>
      </c>
    </row>
    <row r="111" spans="1:17" x14ac:dyDescent="0.35">
      <c r="A111">
        <v>110</v>
      </c>
      <c r="B111" t="s">
        <v>352</v>
      </c>
      <c r="C111" t="s">
        <v>353</v>
      </c>
      <c r="D111" t="s">
        <v>1315</v>
      </c>
      <c r="E111">
        <v>41</v>
      </c>
      <c r="F111" t="str">
        <f t="shared" si="3"/>
        <v>adult</v>
      </c>
      <c r="G111" t="s">
        <v>354</v>
      </c>
      <c r="H111" t="str">
        <f t="shared" si="4"/>
        <v>Oct</v>
      </c>
      <c r="I111" t="s">
        <v>26</v>
      </c>
      <c r="J111" t="s">
        <v>37</v>
      </c>
      <c r="K111" t="s">
        <v>19</v>
      </c>
      <c r="L111" t="s">
        <v>66</v>
      </c>
      <c r="M111">
        <v>5</v>
      </c>
      <c r="N111" t="str">
        <f t="shared" si="5"/>
        <v>high</v>
      </c>
      <c r="O111">
        <v>13270</v>
      </c>
      <c r="P111" t="s">
        <v>57</v>
      </c>
      <c r="Q111" t="s">
        <v>58</v>
      </c>
    </row>
    <row r="112" spans="1:17" x14ac:dyDescent="0.35">
      <c r="A112">
        <v>111</v>
      </c>
      <c r="B112" t="s">
        <v>355</v>
      </c>
      <c r="C112" t="s">
        <v>356</v>
      </c>
      <c r="D112" t="s">
        <v>1316</v>
      </c>
      <c r="E112">
        <v>60</v>
      </c>
      <c r="F112" t="str">
        <f t="shared" si="3"/>
        <v>senior</v>
      </c>
      <c r="G112" t="s">
        <v>357</v>
      </c>
      <c r="H112" t="str">
        <f t="shared" si="4"/>
        <v>Jan</v>
      </c>
      <c r="I112" t="s">
        <v>17</v>
      </c>
      <c r="J112" t="s">
        <v>18</v>
      </c>
      <c r="K112" t="s">
        <v>19</v>
      </c>
      <c r="L112" t="s">
        <v>32</v>
      </c>
      <c r="M112">
        <v>4</v>
      </c>
      <c r="N112" t="str">
        <f t="shared" si="5"/>
        <v>high</v>
      </c>
      <c r="O112">
        <v>8120</v>
      </c>
      <c r="P112" t="s">
        <v>21</v>
      </c>
      <c r="Q112" t="s">
        <v>22</v>
      </c>
    </row>
    <row r="113" spans="1:17" x14ac:dyDescent="0.35">
      <c r="A113">
        <v>112</v>
      </c>
      <c r="B113" t="s">
        <v>358</v>
      </c>
      <c r="C113" t="s">
        <v>359</v>
      </c>
      <c r="D113" t="s">
        <v>1315</v>
      </c>
      <c r="E113">
        <v>22</v>
      </c>
      <c r="F113" t="str">
        <f t="shared" si="3"/>
        <v>teen</v>
      </c>
      <c r="G113" t="s">
        <v>43</v>
      </c>
      <c r="H113" t="str">
        <f t="shared" si="4"/>
        <v>Apr</v>
      </c>
      <c r="I113" t="s">
        <v>26</v>
      </c>
      <c r="J113" t="s">
        <v>37</v>
      </c>
      <c r="K113" t="s">
        <v>19</v>
      </c>
      <c r="L113" t="s">
        <v>39</v>
      </c>
      <c r="M113">
        <v>4</v>
      </c>
      <c r="N113" t="str">
        <f t="shared" si="5"/>
        <v>high</v>
      </c>
      <c r="O113">
        <v>11708</v>
      </c>
      <c r="P113" t="s">
        <v>57</v>
      </c>
      <c r="Q113" t="s">
        <v>58</v>
      </c>
    </row>
    <row r="114" spans="1:17" x14ac:dyDescent="0.35">
      <c r="A114">
        <v>113</v>
      </c>
      <c r="B114" t="s">
        <v>360</v>
      </c>
      <c r="C114" t="s">
        <v>361</v>
      </c>
      <c r="D114" t="s">
        <v>1316</v>
      </c>
      <c r="E114">
        <v>35</v>
      </c>
      <c r="F114" t="str">
        <f t="shared" si="3"/>
        <v>adult</v>
      </c>
      <c r="G114" t="s">
        <v>69</v>
      </c>
      <c r="H114" t="str">
        <f t="shared" si="4"/>
        <v>Dec</v>
      </c>
      <c r="I114" t="s">
        <v>17</v>
      </c>
      <c r="J114" t="s">
        <v>56</v>
      </c>
      <c r="K114" t="s">
        <v>38</v>
      </c>
      <c r="L114" t="s">
        <v>32</v>
      </c>
      <c r="M114">
        <v>4</v>
      </c>
      <c r="N114" t="str">
        <f t="shared" si="5"/>
        <v>high</v>
      </c>
      <c r="O114">
        <v>9320</v>
      </c>
      <c r="P114" t="s">
        <v>79</v>
      </c>
      <c r="Q114" t="s">
        <v>80</v>
      </c>
    </row>
    <row r="115" spans="1:17" x14ac:dyDescent="0.35">
      <c r="A115">
        <v>114</v>
      </c>
      <c r="B115" t="s">
        <v>362</v>
      </c>
      <c r="C115" t="s">
        <v>363</v>
      </c>
      <c r="D115" t="s">
        <v>1315</v>
      </c>
      <c r="E115">
        <v>47</v>
      </c>
      <c r="F115" t="str">
        <f t="shared" si="3"/>
        <v>senior</v>
      </c>
      <c r="G115" t="s">
        <v>159</v>
      </c>
      <c r="H115" t="str">
        <f t="shared" si="4"/>
        <v>Apr</v>
      </c>
      <c r="I115" t="s">
        <v>31</v>
      </c>
      <c r="J115" t="s">
        <v>37</v>
      </c>
      <c r="K115" t="s">
        <v>38</v>
      </c>
      <c r="L115" t="s">
        <v>32</v>
      </c>
      <c r="M115">
        <v>2</v>
      </c>
      <c r="N115" t="str">
        <f t="shared" si="5"/>
        <v>high</v>
      </c>
      <c r="O115">
        <v>5106</v>
      </c>
      <c r="P115" t="s">
        <v>79</v>
      </c>
      <c r="Q115" t="s">
        <v>80</v>
      </c>
    </row>
    <row r="116" spans="1:17" x14ac:dyDescent="0.35">
      <c r="A116">
        <v>115</v>
      </c>
      <c r="B116" t="s">
        <v>364</v>
      </c>
      <c r="C116" t="s">
        <v>365</v>
      </c>
      <c r="D116" t="s">
        <v>1315</v>
      </c>
      <c r="E116">
        <v>19</v>
      </c>
      <c r="F116" t="str">
        <f t="shared" si="3"/>
        <v>teen</v>
      </c>
      <c r="G116" t="s">
        <v>36</v>
      </c>
      <c r="H116" t="str">
        <f t="shared" si="4"/>
        <v>Feb</v>
      </c>
      <c r="I116" t="s">
        <v>31</v>
      </c>
      <c r="J116" t="s">
        <v>56</v>
      </c>
      <c r="K116" t="s">
        <v>19</v>
      </c>
      <c r="L116" t="s">
        <v>66</v>
      </c>
      <c r="M116">
        <v>3</v>
      </c>
      <c r="N116" t="str">
        <f t="shared" si="5"/>
        <v>low</v>
      </c>
      <c r="O116">
        <v>2544</v>
      </c>
      <c r="P116" t="s">
        <v>21</v>
      </c>
      <c r="Q116" t="s">
        <v>22</v>
      </c>
    </row>
    <row r="117" spans="1:17" x14ac:dyDescent="0.35">
      <c r="A117">
        <v>116</v>
      </c>
      <c r="B117" t="s">
        <v>366</v>
      </c>
      <c r="C117" t="s">
        <v>367</v>
      </c>
      <c r="D117" t="s">
        <v>1316</v>
      </c>
      <c r="E117">
        <v>42</v>
      </c>
      <c r="F117" t="str">
        <f t="shared" si="3"/>
        <v>adult</v>
      </c>
      <c r="G117" t="s">
        <v>368</v>
      </c>
      <c r="H117" t="str">
        <f t="shared" si="4"/>
        <v>May</v>
      </c>
      <c r="I117" t="s">
        <v>26</v>
      </c>
      <c r="J117" t="s">
        <v>37</v>
      </c>
      <c r="K117" t="s">
        <v>38</v>
      </c>
      <c r="L117" t="s">
        <v>66</v>
      </c>
      <c r="M117">
        <v>2</v>
      </c>
      <c r="N117" t="str">
        <f t="shared" si="5"/>
        <v>high</v>
      </c>
      <c r="O117">
        <v>5708</v>
      </c>
      <c r="P117" t="s">
        <v>33</v>
      </c>
      <c r="Q117" t="s">
        <v>33</v>
      </c>
    </row>
    <row r="118" spans="1:17" x14ac:dyDescent="0.35">
      <c r="A118">
        <v>117</v>
      </c>
      <c r="B118" t="s">
        <v>369</v>
      </c>
      <c r="C118" t="s">
        <v>370</v>
      </c>
      <c r="D118" t="s">
        <v>1315</v>
      </c>
      <c r="E118">
        <v>32</v>
      </c>
      <c r="F118" t="str">
        <f t="shared" si="3"/>
        <v>adult</v>
      </c>
      <c r="G118" t="s">
        <v>371</v>
      </c>
      <c r="H118" t="str">
        <f t="shared" si="4"/>
        <v>Apr</v>
      </c>
      <c r="I118" t="s">
        <v>17</v>
      </c>
      <c r="J118" t="s">
        <v>37</v>
      </c>
      <c r="K118" t="s">
        <v>62</v>
      </c>
      <c r="L118" t="s">
        <v>39</v>
      </c>
      <c r="M118">
        <v>2</v>
      </c>
      <c r="N118" t="str">
        <f t="shared" si="5"/>
        <v>low</v>
      </c>
      <c r="O118">
        <v>1864</v>
      </c>
      <c r="P118" t="s">
        <v>79</v>
      </c>
      <c r="Q118" t="s">
        <v>80</v>
      </c>
    </row>
    <row r="119" spans="1:17" x14ac:dyDescent="0.35">
      <c r="A119">
        <v>118</v>
      </c>
      <c r="B119" t="s">
        <v>372</v>
      </c>
      <c r="C119" t="s">
        <v>373</v>
      </c>
      <c r="D119" t="s">
        <v>1316</v>
      </c>
      <c r="E119">
        <v>36</v>
      </c>
      <c r="F119" t="str">
        <f t="shared" si="3"/>
        <v>adult</v>
      </c>
      <c r="G119" t="s">
        <v>313</v>
      </c>
      <c r="H119" t="str">
        <f t="shared" si="4"/>
        <v>May</v>
      </c>
      <c r="I119" t="s">
        <v>26</v>
      </c>
      <c r="J119" t="s">
        <v>56</v>
      </c>
      <c r="K119" t="s">
        <v>19</v>
      </c>
      <c r="L119" t="s">
        <v>39</v>
      </c>
      <c r="M119">
        <v>1</v>
      </c>
      <c r="N119" t="str">
        <f t="shared" si="5"/>
        <v>low</v>
      </c>
      <c r="O119">
        <v>1060</v>
      </c>
      <c r="P119" t="s">
        <v>33</v>
      </c>
      <c r="Q119" t="s">
        <v>33</v>
      </c>
    </row>
    <row r="120" spans="1:17" x14ac:dyDescent="0.35">
      <c r="A120">
        <v>119</v>
      </c>
      <c r="B120" t="s">
        <v>374</v>
      </c>
      <c r="C120" t="s">
        <v>375</v>
      </c>
      <c r="D120" t="s">
        <v>1315</v>
      </c>
      <c r="E120">
        <v>24</v>
      </c>
      <c r="F120" t="str">
        <f t="shared" si="3"/>
        <v>teen</v>
      </c>
      <c r="G120" t="s">
        <v>376</v>
      </c>
      <c r="H120" t="str">
        <f t="shared" si="4"/>
        <v>Apr</v>
      </c>
      <c r="I120" t="s">
        <v>17</v>
      </c>
      <c r="J120" t="s">
        <v>37</v>
      </c>
      <c r="K120" t="s">
        <v>49</v>
      </c>
      <c r="L120" t="s">
        <v>39</v>
      </c>
      <c r="M120">
        <v>3</v>
      </c>
      <c r="N120" t="str">
        <f t="shared" si="5"/>
        <v>high</v>
      </c>
      <c r="O120">
        <v>8385</v>
      </c>
      <c r="P120" t="s">
        <v>21</v>
      </c>
      <c r="Q120" t="s">
        <v>22</v>
      </c>
    </row>
    <row r="121" spans="1:17" x14ac:dyDescent="0.35">
      <c r="A121">
        <v>120</v>
      </c>
      <c r="B121" t="s">
        <v>377</v>
      </c>
      <c r="C121" t="s">
        <v>378</v>
      </c>
      <c r="D121" t="s">
        <v>1316</v>
      </c>
      <c r="E121">
        <v>33</v>
      </c>
      <c r="F121" t="str">
        <f t="shared" si="3"/>
        <v>adult</v>
      </c>
      <c r="G121" t="s">
        <v>379</v>
      </c>
      <c r="H121" t="str">
        <f t="shared" si="4"/>
        <v>Mar</v>
      </c>
      <c r="I121" t="s">
        <v>31</v>
      </c>
      <c r="J121" t="s">
        <v>56</v>
      </c>
      <c r="K121" t="s">
        <v>62</v>
      </c>
      <c r="L121" t="s">
        <v>66</v>
      </c>
      <c r="M121">
        <v>3</v>
      </c>
      <c r="N121" t="str">
        <f t="shared" si="5"/>
        <v>high</v>
      </c>
      <c r="O121">
        <v>3636</v>
      </c>
      <c r="P121" t="s">
        <v>40</v>
      </c>
      <c r="Q121" t="s">
        <v>22</v>
      </c>
    </row>
    <row r="122" spans="1:17" x14ac:dyDescent="0.35">
      <c r="A122">
        <v>121</v>
      </c>
      <c r="B122" t="s">
        <v>380</v>
      </c>
      <c r="C122" t="s">
        <v>381</v>
      </c>
      <c r="D122" t="s">
        <v>1316</v>
      </c>
      <c r="E122">
        <v>24</v>
      </c>
      <c r="F122" t="str">
        <f t="shared" si="3"/>
        <v>teen</v>
      </c>
      <c r="G122" t="s">
        <v>382</v>
      </c>
      <c r="H122" t="str">
        <f t="shared" si="4"/>
        <v>Jan</v>
      </c>
      <c r="I122" t="s">
        <v>31</v>
      </c>
      <c r="J122" t="s">
        <v>18</v>
      </c>
      <c r="K122" t="s">
        <v>49</v>
      </c>
      <c r="L122" t="s">
        <v>32</v>
      </c>
      <c r="M122">
        <v>4</v>
      </c>
      <c r="N122" t="str">
        <f t="shared" si="5"/>
        <v>high</v>
      </c>
      <c r="O122">
        <v>7432</v>
      </c>
      <c r="P122" t="s">
        <v>57</v>
      </c>
      <c r="Q122" t="s">
        <v>58</v>
      </c>
    </row>
    <row r="123" spans="1:17" x14ac:dyDescent="0.35">
      <c r="A123">
        <v>122</v>
      </c>
      <c r="B123" t="s">
        <v>383</v>
      </c>
      <c r="C123" t="s">
        <v>384</v>
      </c>
      <c r="D123" t="s">
        <v>1315</v>
      </c>
      <c r="E123">
        <v>26</v>
      </c>
      <c r="F123" t="str">
        <f t="shared" si="3"/>
        <v>adult</v>
      </c>
      <c r="G123" t="s">
        <v>385</v>
      </c>
      <c r="H123" t="str">
        <f t="shared" si="4"/>
        <v>Nov</v>
      </c>
      <c r="I123" t="s">
        <v>26</v>
      </c>
      <c r="J123" t="s">
        <v>18</v>
      </c>
      <c r="K123" t="s">
        <v>19</v>
      </c>
      <c r="L123" t="s">
        <v>39</v>
      </c>
      <c r="M123">
        <v>5</v>
      </c>
      <c r="N123" t="str">
        <f t="shared" si="5"/>
        <v>high</v>
      </c>
      <c r="O123">
        <v>5030</v>
      </c>
      <c r="P123" t="s">
        <v>79</v>
      </c>
      <c r="Q123" t="s">
        <v>80</v>
      </c>
    </row>
    <row r="124" spans="1:17" x14ac:dyDescent="0.35">
      <c r="A124">
        <v>123</v>
      </c>
      <c r="B124" t="s">
        <v>386</v>
      </c>
      <c r="C124" t="s">
        <v>387</v>
      </c>
      <c r="D124" t="s">
        <v>1316</v>
      </c>
      <c r="E124">
        <v>39</v>
      </c>
      <c r="F124" t="str">
        <f t="shared" si="3"/>
        <v>adult</v>
      </c>
      <c r="G124" t="s">
        <v>388</v>
      </c>
      <c r="H124" t="str">
        <f t="shared" si="4"/>
        <v>Jun</v>
      </c>
      <c r="I124" t="s">
        <v>31</v>
      </c>
      <c r="J124" t="s">
        <v>37</v>
      </c>
      <c r="K124" t="s">
        <v>38</v>
      </c>
      <c r="L124" t="s">
        <v>20</v>
      </c>
      <c r="M124">
        <v>2</v>
      </c>
      <c r="N124" t="str">
        <f t="shared" si="5"/>
        <v>high</v>
      </c>
      <c r="O124">
        <v>4984</v>
      </c>
      <c r="P124" t="s">
        <v>44</v>
      </c>
      <c r="Q124" t="s">
        <v>45</v>
      </c>
    </row>
    <row r="125" spans="1:17" x14ac:dyDescent="0.35">
      <c r="A125">
        <v>124</v>
      </c>
      <c r="B125" t="s">
        <v>389</v>
      </c>
      <c r="C125" t="s">
        <v>390</v>
      </c>
      <c r="D125" t="s">
        <v>1315</v>
      </c>
      <c r="E125">
        <v>28</v>
      </c>
      <c r="F125" t="str">
        <f t="shared" si="3"/>
        <v>adult</v>
      </c>
      <c r="G125" t="s">
        <v>391</v>
      </c>
      <c r="H125" t="str">
        <f t="shared" si="4"/>
        <v>May</v>
      </c>
      <c r="I125" t="s">
        <v>31</v>
      </c>
      <c r="J125" t="s">
        <v>18</v>
      </c>
      <c r="K125" t="s">
        <v>62</v>
      </c>
      <c r="L125" t="s">
        <v>66</v>
      </c>
      <c r="M125">
        <v>3</v>
      </c>
      <c r="N125" t="str">
        <f t="shared" si="5"/>
        <v>high</v>
      </c>
      <c r="O125">
        <v>4887</v>
      </c>
      <c r="P125" t="s">
        <v>21</v>
      </c>
      <c r="Q125" t="s">
        <v>22</v>
      </c>
    </row>
    <row r="126" spans="1:17" x14ac:dyDescent="0.35">
      <c r="A126">
        <v>125</v>
      </c>
      <c r="B126" t="s">
        <v>392</v>
      </c>
      <c r="C126" t="s">
        <v>393</v>
      </c>
      <c r="D126" t="s">
        <v>1316</v>
      </c>
      <c r="E126">
        <v>22</v>
      </c>
      <c r="F126" t="str">
        <f t="shared" si="3"/>
        <v>teen</v>
      </c>
      <c r="G126" t="s">
        <v>394</v>
      </c>
      <c r="H126" t="str">
        <f t="shared" si="4"/>
        <v>Nov</v>
      </c>
      <c r="I126" t="s">
        <v>26</v>
      </c>
      <c r="J126" t="s">
        <v>37</v>
      </c>
      <c r="K126" t="s">
        <v>38</v>
      </c>
      <c r="L126" t="s">
        <v>32</v>
      </c>
      <c r="M126">
        <v>2</v>
      </c>
      <c r="N126" t="str">
        <f t="shared" si="5"/>
        <v>low</v>
      </c>
      <c r="O126">
        <v>2450</v>
      </c>
      <c r="P126" t="s">
        <v>40</v>
      </c>
      <c r="Q126" t="s">
        <v>22</v>
      </c>
    </row>
    <row r="127" spans="1:17" x14ac:dyDescent="0.35">
      <c r="A127">
        <v>126</v>
      </c>
      <c r="B127" t="s">
        <v>395</v>
      </c>
      <c r="C127" t="s">
        <v>396</v>
      </c>
      <c r="D127" t="s">
        <v>1315</v>
      </c>
      <c r="E127">
        <v>60</v>
      </c>
      <c r="F127" t="str">
        <f t="shared" si="3"/>
        <v>senior</v>
      </c>
      <c r="G127" t="s">
        <v>397</v>
      </c>
      <c r="H127" t="str">
        <f t="shared" si="4"/>
        <v>May</v>
      </c>
      <c r="I127" t="s">
        <v>17</v>
      </c>
      <c r="J127" t="s">
        <v>56</v>
      </c>
      <c r="K127" t="s">
        <v>38</v>
      </c>
      <c r="L127" t="s">
        <v>66</v>
      </c>
      <c r="M127">
        <v>3</v>
      </c>
      <c r="N127" t="str">
        <f t="shared" si="5"/>
        <v>high</v>
      </c>
      <c r="O127">
        <v>5670</v>
      </c>
      <c r="P127" t="s">
        <v>44</v>
      </c>
      <c r="Q127" t="s">
        <v>45</v>
      </c>
    </row>
    <row r="128" spans="1:17" x14ac:dyDescent="0.35">
      <c r="A128">
        <v>127</v>
      </c>
      <c r="B128" t="s">
        <v>398</v>
      </c>
      <c r="C128" t="s">
        <v>399</v>
      </c>
      <c r="D128" t="s">
        <v>1316</v>
      </c>
      <c r="E128">
        <v>44</v>
      </c>
      <c r="F128" t="str">
        <f t="shared" si="3"/>
        <v>adult</v>
      </c>
      <c r="G128" t="s">
        <v>400</v>
      </c>
      <c r="H128" t="str">
        <f t="shared" si="4"/>
        <v>May</v>
      </c>
      <c r="I128" t="s">
        <v>31</v>
      </c>
      <c r="J128" t="s">
        <v>37</v>
      </c>
      <c r="K128" t="s">
        <v>38</v>
      </c>
      <c r="L128" t="s">
        <v>32</v>
      </c>
      <c r="M128">
        <v>3</v>
      </c>
      <c r="N128" t="str">
        <f t="shared" si="5"/>
        <v>high</v>
      </c>
      <c r="O128">
        <v>4893</v>
      </c>
      <c r="P128" t="s">
        <v>57</v>
      </c>
      <c r="Q128" t="s">
        <v>58</v>
      </c>
    </row>
    <row r="129" spans="1:17" x14ac:dyDescent="0.35">
      <c r="A129">
        <v>128</v>
      </c>
      <c r="B129" t="s">
        <v>401</v>
      </c>
      <c r="C129" t="s">
        <v>402</v>
      </c>
      <c r="D129" t="s">
        <v>1316</v>
      </c>
      <c r="E129">
        <v>57</v>
      </c>
      <c r="F129" t="str">
        <f t="shared" si="3"/>
        <v>senior</v>
      </c>
      <c r="G129" t="s">
        <v>225</v>
      </c>
      <c r="H129" t="str">
        <f t="shared" si="4"/>
        <v>Apr</v>
      </c>
      <c r="I129" t="s">
        <v>31</v>
      </c>
      <c r="J129" t="s">
        <v>18</v>
      </c>
      <c r="K129" t="s">
        <v>19</v>
      </c>
      <c r="L129" t="s">
        <v>20</v>
      </c>
      <c r="M129">
        <v>2</v>
      </c>
      <c r="N129" t="str">
        <f t="shared" si="5"/>
        <v>high</v>
      </c>
      <c r="O129">
        <v>3522</v>
      </c>
      <c r="P129" t="s">
        <v>79</v>
      </c>
      <c r="Q129" t="s">
        <v>80</v>
      </c>
    </row>
    <row r="130" spans="1:17" x14ac:dyDescent="0.35">
      <c r="A130">
        <v>129</v>
      </c>
      <c r="B130" t="s">
        <v>403</v>
      </c>
      <c r="C130" t="s">
        <v>404</v>
      </c>
      <c r="D130" t="s">
        <v>1316</v>
      </c>
      <c r="E130">
        <v>50</v>
      </c>
      <c r="F130" t="str">
        <f t="shared" si="3"/>
        <v>senior</v>
      </c>
      <c r="G130" t="s">
        <v>405</v>
      </c>
      <c r="H130" t="str">
        <f t="shared" si="4"/>
        <v>Sep</v>
      </c>
      <c r="I130" t="s">
        <v>26</v>
      </c>
      <c r="J130" t="s">
        <v>37</v>
      </c>
      <c r="K130" t="s">
        <v>49</v>
      </c>
      <c r="L130" t="s">
        <v>39</v>
      </c>
      <c r="M130">
        <v>1</v>
      </c>
      <c r="N130" t="str">
        <f t="shared" si="5"/>
        <v>low</v>
      </c>
      <c r="O130">
        <v>2095</v>
      </c>
      <c r="P130" t="s">
        <v>33</v>
      </c>
      <c r="Q130" t="s">
        <v>33</v>
      </c>
    </row>
    <row r="131" spans="1:17" x14ac:dyDescent="0.35">
      <c r="A131">
        <v>130</v>
      </c>
      <c r="B131" t="s">
        <v>406</v>
      </c>
      <c r="C131" t="s">
        <v>407</v>
      </c>
      <c r="D131" t="s">
        <v>1315</v>
      </c>
      <c r="E131">
        <v>44</v>
      </c>
      <c r="F131" t="str">
        <f t="shared" ref="F131:F194" si="6">IF(E131&gt;45,"senior",IF(E131&gt;=25,"adult","teen"))</f>
        <v>adult</v>
      </c>
      <c r="G131" t="s">
        <v>408</v>
      </c>
      <c r="H131" t="str">
        <f t="shared" ref="H131:H194" si="7">TEXT(G131,"mmm")</f>
        <v>Jun</v>
      </c>
      <c r="I131" t="s">
        <v>26</v>
      </c>
      <c r="J131" t="s">
        <v>37</v>
      </c>
      <c r="K131" t="s">
        <v>19</v>
      </c>
      <c r="L131" t="s">
        <v>66</v>
      </c>
      <c r="M131">
        <v>4</v>
      </c>
      <c r="N131" t="str">
        <f t="shared" ref="N131:N194" si="8">IF(O131&gt;=3000,"high",IF(O131&gt;=500,"low","medium"))</f>
        <v>high</v>
      </c>
      <c r="O131">
        <v>8080</v>
      </c>
      <c r="P131" t="s">
        <v>27</v>
      </c>
      <c r="Q131" t="s">
        <v>22</v>
      </c>
    </row>
    <row r="132" spans="1:17" x14ac:dyDescent="0.35">
      <c r="A132">
        <v>131</v>
      </c>
      <c r="B132" t="s">
        <v>409</v>
      </c>
      <c r="C132" t="s">
        <v>410</v>
      </c>
      <c r="D132" t="s">
        <v>1316</v>
      </c>
      <c r="E132">
        <v>22</v>
      </c>
      <c r="F132" t="str">
        <f t="shared" si="6"/>
        <v>teen</v>
      </c>
      <c r="G132" t="s">
        <v>257</v>
      </c>
      <c r="H132" t="str">
        <f t="shared" si="7"/>
        <v>May</v>
      </c>
      <c r="I132" t="s">
        <v>31</v>
      </c>
      <c r="J132" t="s">
        <v>56</v>
      </c>
      <c r="K132" t="s">
        <v>62</v>
      </c>
      <c r="L132" t="s">
        <v>39</v>
      </c>
      <c r="M132">
        <v>5</v>
      </c>
      <c r="N132" t="str">
        <f t="shared" si="8"/>
        <v>high</v>
      </c>
      <c r="O132">
        <v>7485</v>
      </c>
      <c r="P132" t="s">
        <v>44</v>
      </c>
      <c r="Q132" t="s">
        <v>45</v>
      </c>
    </row>
    <row r="133" spans="1:17" x14ac:dyDescent="0.35">
      <c r="A133">
        <v>132</v>
      </c>
      <c r="B133" t="s">
        <v>411</v>
      </c>
      <c r="C133" t="s">
        <v>412</v>
      </c>
      <c r="D133" t="s">
        <v>1315</v>
      </c>
      <c r="E133">
        <v>42</v>
      </c>
      <c r="F133" t="str">
        <f t="shared" si="6"/>
        <v>adult</v>
      </c>
      <c r="G133" t="s">
        <v>413</v>
      </c>
      <c r="H133" t="str">
        <f t="shared" si="7"/>
        <v>Jan</v>
      </c>
      <c r="I133" t="s">
        <v>17</v>
      </c>
      <c r="J133" t="s">
        <v>37</v>
      </c>
      <c r="K133" t="s">
        <v>19</v>
      </c>
      <c r="L133" t="s">
        <v>39</v>
      </c>
      <c r="M133">
        <v>5</v>
      </c>
      <c r="N133" t="str">
        <f t="shared" si="8"/>
        <v>high</v>
      </c>
      <c r="O133">
        <v>9440</v>
      </c>
      <c r="P133" t="s">
        <v>57</v>
      </c>
      <c r="Q133" t="s">
        <v>58</v>
      </c>
    </row>
    <row r="134" spans="1:17" x14ac:dyDescent="0.35">
      <c r="A134">
        <v>133</v>
      </c>
      <c r="B134" t="s">
        <v>414</v>
      </c>
      <c r="C134" t="s">
        <v>415</v>
      </c>
      <c r="D134" t="s">
        <v>1315</v>
      </c>
      <c r="E134">
        <v>28</v>
      </c>
      <c r="F134" t="str">
        <f t="shared" si="6"/>
        <v>adult</v>
      </c>
      <c r="G134" t="s">
        <v>416</v>
      </c>
      <c r="H134" t="str">
        <f t="shared" si="7"/>
        <v>Nov</v>
      </c>
      <c r="I134" t="s">
        <v>26</v>
      </c>
      <c r="J134" t="s">
        <v>18</v>
      </c>
      <c r="K134" t="s">
        <v>49</v>
      </c>
      <c r="L134" t="s">
        <v>20</v>
      </c>
      <c r="M134">
        <v>5</v>
      </c>
      <c r="N134" t="str">
        <f t="shared" si="8"/>
        <v>high</v>
      </c>
      <c r="O134">
        <v>8990</v>
      </c>
      <c r="P134" t="s">
        <v>57</v>
      </c>
      <c r="Q134" t="s">
        <v>58</v>
      </c>
    </row>
    <row r="135" spans="1:17" x14ac:dyDescent="0.35">
      <c r="A135">
        <v>134</v>
      </c>
      <c r="B135" t="s">
        <v>417</v>
      </c>
      <c r="C135" t="s">
        <v>418</v>
      </c>
      <c r="D135" t="s">
        <v>1316</v>
      </c>
      <c r="E135">
        <v>53</v>
      </c>
      <c r="F135" t="str">
        <f t="shared" si="6"/>
        <v>senior</v>
      </c>
      <c r="G135" t="s">
        <v>179</v>
      </c>
      <c r="H135" t="str">
        <f t="shared" si="7"/>
        <v>Jun</v>
      </c>
      <c r="I135" t="s">
        <v>17</v>
      </c>
      <c r="J135" t="s">
        <v>18</v>
      </c>
      <c r="K135" t="s">
        <v>49</v>
      </c>
      <c r="L135" t="s">
        <v>39</v>
      </c>
      <c r="M135">
        <v>2</v>
      </c>
      <c r="N135" t="str">
        <f t="shared" si="8"/>
        <v>high</v>
      </c>
      <c r="O135">
        <v>5740</v>
      </c>
      <c r="P135" t="s">
        <v>44</v>
      </c>
      <c r="Q135" t="s">
        <v>45</v>
      </c>
    </row>
    <row r="136" spans="1:17" x14ac:dyDescent="0.35">
      <c r="A136">
        <v>135</v>
      </c>
      <c r="B136" t="s">
        <v>419</v>
      </c>
      <c r="C136" t="s">
        <v>420</v>
      </c>
      <c r="D136" t="s">
        <v>1316</v>
      </c>
      <c r="E136">
        <v>37</v>
      </c>
      <c r="F136" t="str">
        <f t="shared" si="6"/>
        <v>adult</v>
      </c>
      <c r="G136" t="s">
        <v>421</v>
      </c>
      <c r="H136" t="str">
        <f t="shared" si="7"/>
        <v>Jun</v>
      </c>
      <c r="I136" t="s">
        <v>17</v>
      </c>
      <c r="J136" t="s">
        <v>56</v>
      </c>
      <c r="K136" t="s">
        <v>62</v>
      </c>
      <c r="L136" t="s">
        <v>39</v>
      </c>
      <c r="M136">
        <v>5</v>
      </c>
      <c r="N136" t="str">
        <f t="shared" si="8"/>
        <v>high</v>
      </c>
      <c r="O136">
        <v>6665</v>
      </c>
      <c r="P136" t="s">
        <v>21</v>
      </c>
      <c r="Q136" t="s">
        <v>22</v>
      </c>
    </row>
    <row r="137" spans="1:17" x14ac:dyDescent="0.35">
      <c r="A137">
        <v>136</v>
      </c>
      <c r="B137" t="s">
        <v>422</v>
      </c>
      <c r="C137" t="s">
        <v>423</v>
      </c>
      <c r="D137" t="s">
        <v>1315</v>
      </c>
      <c r="E137">
        <v>40</v>
      </c>
      <c r="F137" t="str">
        <f t="shared" si="6"/>
        <v>adult</v>
      </c>
      <c r="G137" t="s">
        <v>424</v>
      </c>
      <c r="H137" t="str">
        <f t="shared" si="7"/>
        <v>Jun</v>
      </c>
      <c r="I137" t="s">
        <v>31</v>
      </c>
      <c r="J137" t="s">
        <v>18</v>
      </c>
      <c r="K137" t="s">
        <v>38</v>
      </c>
      <c r="L137" t="s">
        <v>32</v>
      </c>
      <c r="M137">
        <v>5</v>
      </c>
      <c r="N137" t="str">
        <f t="shared" si="8"/>
        <v>high</v>
      </c>
      <c r="O137">
        <v>12190</v>
      </c>
      <c r="P137" t="s">
        <v>33</v>
      </c>
      <c r="Q137" t="s">
        <v>33</v>
      </c>
    </row>
    <row r="138" spans="1:17" x14ac:dyDescent="0.35">
      <c r="A138">
        <v>137</v>
      </c>
      <c r="B138" t="s">
        <v>425</v>
      </c>
      <c r="C138" t="s">
        <v>426</v>
      </c>
      <c r="D138" t="s">
        <v>1316</v>
      </c>
      <c r="E138">
        <v>19</v>
      </c>
      <c r="F138" t="str">
        <f t="shared" si="6"/>
        <v>teen</v>
      </c>
      <c r="G138" t="s">
        <v>427</v>
      </c>
      <c r="H138" t="str">
        <f t="shared" si="7"/>
        <v>Mar</v>
      </c>
      <c r="I138" t="s">
        <v>26</v>
      </c>
      <c r="J138" t="s">
        <v>37</v>
      </c>
      <c r="K138" t="s">
        <v>19</v>
      </c>
      <c r="L138" t="s">
        <v>32</v>
      </c>
      <c r="M138">
        <v>4</v>
      </c>
      <c r="N138" t="str">
        <f t="shared" si="8"/>
        <v>high</v>
      </c>
      <c r="O138">
        <v>11968</v>
      </c>
      <c r="P138" t="s">
        <v>44</v>
      </c>
      <c r="Q138" t="s">
        <v>45</v>
      </c>
    </row>
    <row r="139" spans="1:17" x14ac:dyDescent="0.35">
      <c r="A139">
        <v>138</v>
      </c>
      <c r="B139" t="s">
        <v>428</v>
      </c>
      <c r="C139" t="s">
        <v>429</v>
      </c>
      <c r="D139" t="s">
        <v>1315</v>
      </c>
      <c r="E139">
        <v>44</v>
      </c>
      <c r="F139" t="str">
        <f t="shared" si="6"/>
        <v>adult</v>
      </c>
      <c r="G139" t="s">
        <v>430</v>
      </c>
      <c r="H139" t="str">
        <f t="shared" si="7"/>
        <v>Nov</v>
      </c>
      <c r="I139" t="s">
        <v>26</v>
      </c>
      <c r="J139" t="s">
        <v>56</v>
      </c>
      <c r="K139" t="s">
        <v>49</v>
      </c>
      <c r="L139" t="s">
        <v>66</v>
      </c>
      <c r="M139">
        <v>1</v>
      </c>
      <c r="N139" t="str">
        <f t="shared" si="8"/>
        <v>low</v>
      </c>
      <c r="O139">
        <v>867</v>
      </c>
      <c r="P139" t="s">
        <v>40</v>
      </c>
      <c r="Q139" t="s">
        <v>22</v>
      </c>
    </row>
    <row r="140" spans="1:17" x14ac:dyDescent="0.35">
      <c r="A140">
        <v>139</v>
      </c>
      <c r="B140" t="s">
        <v>431</v>
      </c>
      <c r="C140" t="s">
        <v>432</v>
      </c>
      <c r="D140" t="s">
        <v>1315</v>
      </c>
      <c r="E140">
        <v>51</v>
      </c>
      <c r="F140" t="str">
        <f t="shared" si="6"/>
        <v>senior</v>
      </c>
      <c r="G140" t="s">
        <v>433</v>
      </c>
      <c r="H140" t="str">
        <f t="shared" si="7"/>
        <v>Dec</v>
      </c>
      <c r="I140" t="s">
        <v>17</v>
      </c>
      <c r="J140" t="s">
        <v>37</v>
      </c>
      <c r="K140" t="s">
        <v>62</v>
      </c>
      <c r="L140" t="s">
        <v>66</v>
      </c>
      <c r="M140">
        <v>4</v>
      </c>
      <c r="N140" t="str">
        <f t="shared" si="8"/>
        <v>high</v>
      </c>
      <c r="O140">
        <v>6464</v>
      </c>
      <c r="P140" t="s">
        <v>21</v>
      </c>
      <c r="Q140" t="s">
        <v>22</v>
      </c>
    </row>
    <row r="141" spans="1:17" x14ac:dyDescent="0.35">
      <c r="A141">
        <v>140</v>
      </c>
      <c r="B141" t="s">
        <v>434</v>
      </c>
      <c r="C141" t="s">
        <v>435</v>
      </c>
      <c r="D141" t="s">
        <v>1316</v>
      </c>
      <c r="E141">
        <v>27</v>
      </c>
      <c r="F141" t="str">
        <f t="shared" si="6"/>
        <v>adult</v>
      </c>
      <c r="G141" t="s">
        <v>436</v>
      </c>
      <c r="H141" t="str">
        <f t="shared" si="7"/>
        <v>Sep</v>
      </c>
      <c r="I141" t="s">
        <v>31</v>
      </c>
      <c r="J141" t="s">
        <v>37</v>
      </c>
      <c r="K141" t="s">
        <v>38</v>
      </c>
      <c r="L141" t="s">
        <v>32</v>
      </c>
      <c r="M141">
        <v>4</v>
      </c>
      <c r="N141" t="str">
        <f t="shared" si="8"/>
        <v>high</v>
      </c>
      <c r="O141">
        <v>9380</v>
      </c>
      <c r="P141" t="s">
        <v>99</v>
      </c>
      <c r="Q141" t="s">
        <v>100</v>
      </c>
    </row>
    <row r="142" spans="1:17" x14ac:dyDescent="0.35">
      <c r="A142">
        <v>141</v>
      </c>
      <c r="B142" t="s">
        <v>437</v>
      </c>
      <c r="C142" t="s">
        <v>438</v>
      </c>
      <c r="D142" t="s">
        <v>1315</v>
      </c>
      <c r="E142">
        <v>25</v>
      </c>
      <c r="F142" t="str">
        <f t="shared" si="6"/>
        <v>adult</v>
      </c>
      <c r="G142" t="s">
        <v>234</v>
      </c>
      <c r="H142" t="str">
        <f t="shared" si="7"/>
        <v>Oct</v>
      </c>
      <c r="I142" t="s">
        <v>31</v>
      </c>
      <c r="J142" t="s">
        <v>56</v>
      </c>
      <c r="K142" t="s">
        <v>49</v>
      </c>
      <c r="L142" t="s">
        <v>39</v>
      </c>
      <c r="M142">
        <v>3</v>
      </c>
      <c r="N142" t="str">
        <f t="shared" si="8"/>
        <v>high</v>
      </c>
      <c r="O142">
        <v>6096</v>
      </c>
      <c r="P142" t="s">
        <v>44</v>
      </c>
      <c r="Q142" t="s">
        <v>45</v>
      </c>
    </row>
    <row r="143" spans="1:17" x14ac:dyDescent="0.35">
      <c r="A143">
        <v>142</v>
      </c>
      <c r="B143" t="s">
        <v>439</v>
      </c>
      <c r="C143" t="s">
        <v>440</v>
      </c>
      <c r="D143" t="s">
        <v>1315</v>
      </c>
      <c r="E143">
        <v>21</v>
      </c>
      <c r="F143" t="str">
        <f t="shared" si="6"/>
        <v>teen</v>
      </c>
      <c r="G143" t="s">
        <v>441</v>
      </c>
      <c r="H143" t="str">
        <f t="shared" si="7"/>
        <v>Sep</v>
      </c>
      <c r="I143" t="s">
        <v>26</v>
      </c>
      <c r="J143" t="s">
        <v>37</v>
      </c>
      <c r="K143" t="s">
        <v>19</v>
      </c>
      <c r="L143" t="s">
        <v>32</v>
      </c>
      <c r="M143">
        <v>4</v>
      </c>
      <c r="N143" t="str">
        <f t="shared" si="8"/>
        <v>high</v>
      </c>
      <c r="O143">
        <v>11104</v>
      </c>
      <c r="P143" t="s">
        <v>79</v>
      </c>
      <c r="Q143" t="s">
        <v>80</v>
      </c>
    </row>
    <row r="144" spans="1:17" x14ac:dyDescent="0.35">
      <c r="A144">
        <v>143</v>
      </c>
      <c r="B144" t="s">
        <v>442</v>
      </c>
      <c r="C144" t="s">
        <v>443</v>
      </c>
      <c r="D144" t="s">
        <v>1315</v>
      </c>
      <c r="E144">
        <v>19</v>
      </c>
      <c r="F144" t="str">
        <f t="shared" si="6"/>
        <v>teen</v>
      </c>
      <c r="G144" t="s">
        <v>444</v>
      </c>
      <c r="H144" t="str">
        <f t="shared" si="7"/>
        <v>Nov</v>
      </c>
      <c r="I144" t="s">
        <v>26</v>
      </c>
      <c r="J144" t="s">
        <v>18</v>
      </c>
      <c r="K144" t="s">
        <v>19</v>
      </c>
      <c r="L144" t="s">
        <v>66</v>
      </c>
      <c r="M144">
        <v>4</v>
      </c>
      <c r="N144" t="str">
        <f t="shared" si="8"/>
        <v>high</v>
      </c>
      <c r="O144">
        <v>7548</v>
      </c>
      <c r="P144" t="s">
        <v>79</v>
      </c>
      <c r="Q144" t="s">
        <v>80</v>
      </c>
    </row>
    <row r="145" spans="1:17" x14ac:dyDescent="0.35">
      <c r="A145">
        <v>144</v>
      </c>
      <c r="B145" t="s">
        <v>445</v>
      </c>
      <c r="C145" t="s">
        <v>446</v>
      </c>
      <c r="D145" t="s">
        <v>1316</v>
      </c>
      <c r="E145">
        <v>37</v>
      </c>
      <c r="F145" t="str">
        <f t="shared" si="6"/>
        <v>adult</v>
      </c>
      <c r="G145" t="s">
        <v>447</v>
      </c>
      <c r="H145" t="str">
        <f t="shared" si="7"/>
        <v>Apr</v>
      </c>
      <c r="I145" t="s">
        <v>26</v>
      </c>
      <c r="J145" t="s">
        <v>18</v>
      </c>
      <c r="K145" t="s">
        <v>38</v>
      </c>
      <c r="L145" t="s">
        <v>39</v>
      </c>
      <c r="M145">
        <v>3</v>
      </c>
      <c r="N145" t="str">
        <f t="shared" si="8"/>
        <v>low</v>
      </c>
      <c r="O145">
        <v>2676</v>
      </c>
      <c r="P145" t="s">
        <v>79</v>
      </c>
      <c r="Q145" t="s">
        <v>80</v>
      </c>
    </row>
    <row r="146" spans="1:17" x14ac:dyDescent="0.35">
      <c r="A146">
        <v>145</v>
      </c>
      <c r="B146" t="s">
        <v>448</v>
      </c>
      <c r="C146" t="s">
        <v>449</v>
      </c>
      <c r="D146" t="s">
        <v>1316</v>
      </c>
      <c r="E146">
        <v>39</v>
      </c>
      <c r="F146" t="str">
        <f t="shared" si="6"/>
        <v>adult</v>
      </c>
      <c r="G146" t="s">
        <v>450</v>
      </c>
      <c r="H146" t="str">
        <f t="shared" si="7"/>
        <v>Nov</v>
      </c>
      <c r="I146" t="s">
        <v>31</v>
      </c>
      <c r="J146" t="s">
        <v>37</v>
      </c>
      <c r="K146" t="s">
        <v>49</v>
      </c>
      <c r="L146" t="s">
        <v>39</v>
      </c>
      <c r="M146">
        <v>5</v>
      </c>
      <c r="N146" t="str">
        <f t="shared" si="8"/>
        <v>high</v>
      </c>
      <c r="O146">
        <v>12305</v>
      </c>
      <c r="P146" t="s">
        <v>21</v>
      </c>
      <c r="Q146" t="s">
        <v>22</v>
      </c>
    </row>
    <row r="147" spans="1:17" x14ac:dyDescent="0.35">
      <c r="A147">
        <v>146</v>
      </c>
      <c r="B147" t="s">
        <v>451</v>
      </c>
      <c r="C147" t="s">
        <v>452</v>
      </c>
      <c r="D147" t="s">
        <v>1315</v>
      </c>
      <c r="E147">
        <v>23</v>
      </c>
      <c r="F147" t="str">
        <f t="shared" si="6"/>
        <v>teen</v>
      </c>
      <c r="G147" t="s">
        <v>453</v>
      </c>
      <c r="H147" t="str">
        <f t="shared" si="7"/>
        <v>Mar</v>
      </c>
      <c r="I147" t="s">
        <v>26</v>
      </c>
      <c r="J147" t="s">
        <v>18</v>
      </c>
      <c r="K147" t="s">
        <v>62</v>
      </c>
      <c r="L147" t="s">
        <v>20</v>
      </c>
      <c r="M147">
        <v>4</v>
      </c>
      <c r="N147" t="str">
        <f t="shared" si="8"/>
        <v>high</v>
      </c>
      <c r="O147">
        <v>7764</v>
      </c>
      <c r="P147" t="s">
        <v>21</v>
      </c>
      <c r="Q147" t="s">
        <v>22</v>
      </c>
    </row>
    <row r="148" spans="1:17" x14ac:dyDescent="0.35">
      <c r="A148">
        <v>147</v>
      </c>
      <c r="B148" t="s">
        <v>454</v>
      </c>
      <c r="C148" t="s">
        <v>455</v>
      </c>
      <c r="D148" t="s">
        <v>1315</v>
      </c>
      <c r="E148">
        <v>33</v>
      </c>
      <c r="F148" t="str">
        <f t="shared" si="6"/>
        <v>adult</v>
      </c>
      <c r="G148" t="s">
        <v>456</v>
      </c>
      <c r="H148" t="str">
        <f t="shared" si="7"/>
        <v>May</v>
      </c>
      <c r="I148" t="s">
        <v>26</v>
      </c>
      <c r="J148" t="s">
        <v>37</v>
      </c>
      <c r="K148" t="s">
        <v>38</v>
      </c>
      <c r="L148" t="s">
        <v>20</v>
      </c>
      <c r="M148">
        <v>2</v>
      </c>
      <c r="N148" t="str">
        <f t="shared" si="8"/>
        <v>low</v>
      </c>
      <c r="O148">
        <v>2934</v>
      </c>
      <c r="P148" t="s">
        <v>27</v>
      </c>
      <c r="Q148" t="s">
        <v>22</v>
      </c>
    </row>
    <row r="149" spans="1:17" x14ac:dyDescent="0.35">
      <c r="A149">
        <v>148</v>
      </c>
      <c r="B149" t="s">
        <v>457</v>
      </c>
      <c r="C149" t="s">
        <v>458</v>
      </c>
      <c r="D149" t="s">
        <v>1316</v>
      </c>
      <c r="E149">
        <v>37</v>
      </c>
      <c r="F149" t="str">
        <f t="shared" si="6"/>
        <v>adult</v>
      </c>
      <c r="G149" t="s">
        <v>459</v>
      </c>
      <c r="H149" t="str">
        <f t="shared" si="7"/>
        <v>Jan</v>
      </c>
      <c r="I149" t="s">
        <v>31</v>
      </c>
      <c r="J149" t="s">
        <v>56</v>
      </c>
      <c r="K149" t="s">
        <v>38</v>
      </c>
      <c r="L149" t="s">
        <v>20</v>
      </c>
      <c r="M149">
        <v>1</v>
      </c>
      <c r="N149" t="str">
        <f t="shared" si="8"/>
        <v>low</v>
      </c>
      <c r="O149">
        <v>2936</v>
      </c>
      <c r="P149" t="s">
        <v>79</v>
      </c>
      <c r="Q149" t="s">
        <v>80</v>
      </c>
    </row>
    <row r="150" spans="1:17" x14ac:dyDescent="0.35">
      <c r="A150">
        <v>149</v>
      </c>
      <c r="B150" t="s">
        <v>460</v>
      </c>
      <c r="C150" t="s">
        <v>461</v>
      </c>
      <c r="D150" t="s">
        <v>1316</v>
      </c>
      <c r="E150">
        <v>34</v>
      </c>
      <c r="F150" t="str">
        <f t="shared" si="6"/>
        <v>adult</v>
      </c>
      <c r="G150" t="s">
        <v>462</v>
      </c>
      <c r="H150" t="str">
        <f t="shared" si="7"/>
        <v>Oct</v>
      </c>
      <c r="I150" t="s">
        <v>31</v>
      </c>
      <c r="J150" t="s">
        <v>18</v>
      </c>
      <c r="K150" t="s">
        <v>19</v>
      </c>
      <c r="L150" t="s">
        <v>39</v>
      </c>
      <c r="M150">
        <v>3</v>
      </c>
      <c r="N150" t="str">
        <f t="shared" si="8"/>
        <v>high</v>
      </c>
      <c r="O150">
        <v>4149</v>
      </c>
      <c r="P150" t="s">
        <v>27</v>
      </c>
      <c r="Q150" t="s">
        <v>22</v>
      </c>
    </row>
    <row r="151" spans="1:17" x14ac:dyDescent="0.35">
      <c r="A151">
        <v>150</v>
      </c>
      <c r="B151" t="s">
        <v>463</v>
      </c>
      <c r="C151" t="s">
        <v>464</v>
      </c>
      <c r="D151" t="s">
        <v>1316</v>
      </c>
      <c r="E151">
        <v>29</v>
      </c>
      <c r="F151" t="str">
        <f t="shared" si="6"/>
        <v>adult</v>
      </c>
      <c r="G151" t="s">
        <v>376</v>
      </c>
      <c r="H151" t="str">
        <f t="shared" si="7"/>
        <v>Apr</v>
      </c>
      <c r="I151" t="s">
        <v>31</v>
      </c>
      <c r="J151" t="s">
        <v>37</v>
      </c>
      <c r="K151" t="s">
        <v>38</v>
      </c>
      <c r="L151" t="s">
        <v>39</v>
      </c>
      <c r="M151">
        <v>4</v>
      </c>
      <c r="N151" t="str">
        <f t="shared" si="8"/>
        <v>high</v>
      </c>
      <c r="O151">
        <v>5560</v>
      </c>
      <c r="P151" t="s">
        <v>27</v>
      </c>
      <c r="Q151" t="s">
        <v>22</v>
      </c>
    </row>
    <row r="152" spans="1:17" x14ac:dyDescent="0.35">
      <c r="A152">
        <v>151</v>
      </c>
      <c r="B152" t="s">
        <v>465</v>
      </c>
      <c r="C152" t="s">
        <v>466</v>
      </c>
      <c r="D152" t="s">
        <v>1316</v>
      </c>
      <c r="E152">
        <v>38</v>
      </c>
      <c r="F152" t="str">
        <f t="shared" si="6"/>
        <v>adult</v>
      </c>
      <c r="G152" t="s">
        <v>467</v>
      </c>
      <c r="H152" t="str">
        <f t="shared" si="7"/>
        <v>Oct</v>
      </c>
      <c r="I152" t="s">
        <v>26</v>
      </c>
      <c r="J152" t="s">
        <v>18</v>
      </c>
      <c r="K152" t="s">
        <v>38</v>
      </c>
      <c r="L152" t="s">
        <v>32</v>
      </c>
      <c r="M152">
        <v>2</v>
      </c>
      <c r="N152" t="str">
        <f t="shared" si="8"/>
        <v>high</v>
      </c>
      <c r="O152">
        <v>4424</v>
      </c>
      <c r="P152" t="s">
        <v>21</v>
      </c>
      <c r="Q152" t="s">
        <v>22</v>
      </c>
    </row>
    <row r="153" spans="1:17" x14ac:dyDescent="0.35">
      <c r="A153">
        <v>152</v>
      </c>
      <c r="B153" t="s">
        <v>468</v>
      </c>
      <c r="C153" t="s">
        <v>469</v>
      </c>
      <c r="D153" t="s">
        <v>1316</v>
      </c>
      <c r="E153">
        <v>24</v>
      </c>
      <c r="F153" t="str">
        <f t="shared" si="6"/>
        <v>teen</v>
      </c>
      <c r="G153" t="s">
        <v>470</v>
      </c>
      <c r="H153" t="str">
        <f t="shared" si="7"/>
        <v>Aug</v>
      </c>
      <c r="I153" t="s">
        <v>31</v>
      </c>
      <c r="J153" t="s">
        <v>56</v>
      </c>
      <c r="K153" t="s">
        <v>62</v>
      </c>
      <c r="L153" t="s">
        <v>20</v>
      </c>
      <c r="M153">
        <v>3</v>
      </c>
      <c r="N153" t="str">
        <f t="shared" si="8"/>
        <v>high</v>
      </c>
      <c r="O153">
        <v>6702</v>
      </c>
      <c r="P153" t="s">
        <v>27</v>
      </c>
      <c r="Q153" t="s">
        <v>22</v>
      </c>
    </row>
    <row r="154" spans="1:17" x14ac:dyDescent="0.35">
      <c r="A154">
        <v>153</v>
      </c>
      <c r="B154" t="s">
        <v>471</v>
      </c>
      <c r="C154" t="s">
        <v>472</v>
      </c>
      <c r="D154" t="s">
        <v>1316</v>
      </c>
      <c r="E154">
        <v>58</v>
      </c>
      <c r="F154" t="str">
        <f t="shared" si="6"/>
        <v>senior</v>
      </c>
      <c r="G154" t="s">
        <v>473</v>
      </c>
      <c r="H154" t="str">
        <f t="shared" si="7"/>
        <v>May</v>
      </c>
      <c r="I154" t="s">
        <v>17</v>
      </c>
      <c r="J154" t="s">
        <v>56</v>
      </c>
      <c r="K154" t="s">
        <v>49</v>
      </c>
      <c r="L154" t="s">
        <v>20</v>
      </c>
      <c r="M154">
        <v>1</v>
      </c>
      <c r="N154" t="str">
        <f t="shared" si="8"/>
        <v>low</v>
      </c>
      <c r="O154">
        <v>653</v>
      </c>
      <c r="P154" t="s">
        <v>21</v>
      </c>
      <c r="Q154" t="s">
        <v>22</v>
      </c>
    </row>
    <row r="155" spans="1:17" x14ac:dyDescent="0.35">
      <c r="A155">
        <v>154</v>
      </c>
      <c r="B155" t="s">
        <v>474</v>
      </c>
      <c r="C155" t="s">
        <v>475</v>
      </c>
      <c r="D155" t="s">
        <v>1315</v>
      </c>
      <c r="E155">
        <v>57</v>
      </c>
      <c r="F155" t="str">
        <f t="shared" si="6"/>
        <v>senior</v>
      </c>
      <c r="G155" t="s">
        <v>476</v>
      </c>
      <c r="H155" t="str">
        <f t="shared" si="7"/>
        <v>Aug</v>
      </c>
      <c r="I155" t="s">
        <v>31</v>
      </c>
      <c r="J155" t="s">
        <v>56</v>
      </c>
      <c r="K155" t="s">
        <v>38</v>
      </c>
      <c r="L155" t="s">
        <v>20</v>
      </c>
      <c r="M155">
        <v>3</v>
      </c>
      <c r="N155" t="str">
        <f t="shared" si="8"/>
        <v>high</v>
      </c>
      <c r="O155">
        <v>8973</v>
      </c>
      <c r="P155" t="s">
        <v>40</v>
      </c>
      <c r="Q155" t="s">
        <v>22</v>
      </c>
    </row>
    <row r="156" spans="1:17" x14ac:dyDescent="0.35">
      <c r="A156">
        <v>155</v>
      </c>
      <c r="B156" t="s">
        <v>477</v>
      </c>
      <c r="C156" t="s">
        <v>478</v>
      </c>
      <c r="D156" t="s">
        <v>1315</v>
      </c>
      <c r="E156">
        <v>31</v>
      </c>
      <c r="F156" t="str">
        <f t="shared" si="6"/>
        <v>adult</v>
      </c>
      <c r="G156" t="s">
        <v>479</v>
      </c>
      <c r="H156" t="str">
        <f t="shared" si="7"/>
        <v>Aug</v>
      </c>
      <c r="I156" t="s">
        <v>31</v>
      </c>
      <c r="J156" t="s">
        <v>56</v>
      </c>
      <c r="K156" t="s">
        <v>19</v>
      </c>
      <c r="L156" t="s">
        <v>39</v>
      </c>
      <c r="M156">
        <v>3</v>
      </c>
      <c r="N156" t="str">
        <f t="shared" si="8"/>
        <v>high</v>
      </c>
      <c r="O156">
        <v>3117</v>
      </c>
      <c r="P156" t="s">
        <v>44</v>
      </c>
      <c r="Q156" t="s">
        <v>45</v>
      </c>
    </row>
    <row r="157" spans="1:17" x14ac:dyDescent="0.35">
      <c r="A157">
        <v>156</v>
      </c>
      <c r="B157" t="s">
        <v>480</v>
      </c>
      <c r="C157" t="s">
        <v>481</v>
      </c>
      <c r="D157" t="s">
        <v>1315</v>
      </c>
      <c r="E157">
        <v>42</v>
      </c>
      <c r="F157" t="str">
        <f t="shared" si="6"/>
        <v>adult</v>
      </c>
      <c r="G157" t="s">
        <v>482</v>
      </c>
      <c r="H157" t="str">
        <f t="shared" si="7"/>
        <v>Oct</v>
      </c>
      <c r="I157" t="s">
        <v>31</v>
      </c>
      <c r="J157" t="s">
        <v>37</v>
      </c>
      <c r="K157" t="s">
        <v>49</v>
      </c>
      <c r="L157" t="s">
        <v>66</v>
      </c>
      <c r="M157">
        <v>1</v>
      </c>
      <c r="N157" t="str">
        <f t="shared" si="8"/>
        <v>low</v>
      </c>
      <c r="O157">
        <v>1103</v>
      </c>
      <c r="P157" t="s">
        <v>33</v>
      </c>
      <c r="Q157" t="s">
        <v>33</v>
      </c>
    </row>
    <row r="158" spans="1:17" x14ac:dyDescent="0.35">
      <c r="A158">
        <v>157</v>
      </c>
      <c r="B158" t="s">
        <v>483</v>
      </c>
      <c r="C158" t="s">
        <v>484</v>
      </c>
      <c r="D158" t="s">
        <v>1316</v>
      </c>
      <c r="E158">
        <v>32</v>
      </c>
      <c r="F158" t="str">
        <f t="shared" si="6"/>
        <v>adult</v>
      </c>
      <c r="G158" t="s">
        <v>485</v>
      </c>
      <c r="H158" t="str">
        <f t="shared" si="7"/>
        <v>Apr</v>
      </c>
      <c r="I158" t="s">
        <v>31</v>
      </c>
      <c r="J158" t="s">
        <v>56</v>
      </c>
      <c r="K158" t="s">
        <v>38</v>
      </c>
      <c r="L158" t="s">
        <v>66</v>
      </c>
      <c r="M158">
        <v>4</v>
      </c>
      <c r="N158" t="str">
        <f t="shared" si="8"/>
        <v>high</v>
      </c>
      <c r="O158">
        <v>7888</v>
      </c>
      <c r="P158" t="s">
        <v>44</v>
      </c>
      <c r="Q158" t="s">
        <v>45</v>
      </c>
    </row>
    <row r="159" spans="1:17" x14ac:dyDescent="0.35">
      <c r="A159">
        <v>158</v>
      </c>
      <c r="B159" t="s">
        <v>486</v>
      </c>
      <c r="C159" t="s">
        <v>487</v>
      </c>
      <c r="D159" t="s">
        <v>1316</v>
      </c>
      <c r="E159">
        <v>59</v>
      </c>
      <c r="F159" t="str">
        <f t="shared" si="6"/>
        <v>senior</v>
      </c>
      <c r="G159" t="s">
        <v>188</v>
      </c>
      <c r="H159" t="str">
        <f t="shared" si="7"/>
        <v>Aug</v>
      </c>
      <c r="I159" t="s">
        <v>17</v>
      </c>
      <c r="J159" t="s">
        <v>56</v>
      </c>
      <c r="K159" t="s">
        <v>62</v>
      </c>
      <c r="L159" t="s">
        <v>20</v>
      </c>
      <c r="M159">
        <v>4</v>
      </c>
      <c r="N159" t="str">
        <f t="shared" si="8"/>
        <v>high</v>
      </c>
      <c r="O159">
        <v>6172</v>
      </c>
      <c r="P159" t="s">
        <v>99</v>
      </c>
      <c r="Q159" t="s">
        <v>100</v>
      </c>
    </row>
    <row r="160" spans="1:17" x14ac:dyDescent="0.35">
      <c r="A160">
        <v>159</v>
      </c>
      <c r="B160" t="s">
        <v>488</v>
      </c>
      <c r="C160" t="s">
        <v>489</v>
      </c>
      <c r="D160" t="s">
        <v>1316</v>
      </c>
      <c r="E160">
        <v>44</v>
      </c>
      <c r="F160" t="str">
        <f t="shared" si="6"/>
        <v>adult</v>
      </c>
      <c r="G160" t="s">
        <v>490</v>
      </c>
      <c r="H160" t="str">
        <f t="shared" si="7"/>
        <v>Dec</v>
      </c>
      <c r="I160" t="s">
        <v>26</v>
      </c>
      <c r="J160" t="s">
        <v>37</v>
      </c>
      <c r="K160" t="s">
        <v>19</v>
      </c>
      <c r="L160" t="s">
        <v>39</v>
      </c>
      <c r="M160">
        <v>5</v>
      </c>
      <c r="N160" t="str">
        <f t="shared" si="8"/>
        <v>high</v>
      </c>
      <c r="O160">
        <v>10830</v>
      </c>
      <c r="P160" t="s">
        <v>40</v>
      </c>
      <c r="Q160" t="s">
        <v>22</v>
      </c>
    </row>
    <row r="161" spans="1:17" x14ac:dyDescent="0.35">
      <c r="A161">
        <v>160</v>
      </c>
      <c r="B161" t="s">
        <v>491</v>
      </c>
      <c r="C161" t="s">
        <v>492</v>
      </c>
      <c r="D161" t="s">
        <v>1315</v>
      </c>
      <c r="E161">
        <v>19</v>
      </c>
      <c r="F161" t="str">
        <f t="shared" si="6"/>
        <v>teen</v>
      </c>
      <c r="G161" t="s">
        <v>493</v>
      </c>
      <c r="H161" t="str">
        <f t="shared" si="7"/>
        <v>Apr</v>
      </c>
      <c r="I161" t="s">
        <v>17</v>
      </c>
      <c r="J161" t="s">
        <v>56</v>
      </c>
      <c r="K161" t="s">
        <v>62</v>
      </c>
      <c r="L161" t="s">
        <v>20</v>
      </c>
      <c r="M161">
        <v>4</v>
      </c>
      <c r="N161" t="str">
        <f t="shared" si="8"/>
        <v>low</v>
      </c>
      <c r="O161">
        <v>2352</v>
      </c>
      <c r="P161" t="s">
        <v>33</v>
      </c>
      <c r="Q161" t="s">
        <v>33</v>
      </c>
    </row>
    <row r="162" spans="1:17" x14ac:dyDescent="0.35">
      <c r="A162">
        <v>161</v>
      </c>
      <c r="B162" t="s">
        <v>494</v>
      </c>
      <c r="C162" t="s">
        <v>495</v>
      </c>
      <c r="D162" t="s">
        <v>1315</v>
      </c>
      <c r="E162">
        <v>19</v>
      </c>
      <c r="F162" t="str">
        <f t="shared" si="6"/>
        <v>teen</v>
      </c>
      <c r="G162" t="s">
        <v>496</v>
      </c>
      <c r="H162" t="str">
        <f t="shared" si="7"/>
        <v>Oct</v>
      </c>
      <c r="I162" t="s">
        <v>17</v>
      </c>
      <c r="J162" t="s">
        <v>37</v>
      </c>
      <c r="K162" t="s">
        <v>19</v>
      </c>
      <c r="L162" t="s">
        <v>32</v>
      </c>
      <c r="M162">
        <v>1</v>
      </c>
      <c r="N162" t="str">
        <f t="shared" si="8"/>
        <v>low</v>
      </c>
      <c r="O162">
        <v>2122</v>
      </c>
      <c r="P162" t="s">
        <v>40</v>
      </c>
      <c r="Q162" t="s">
        <v>22</v>
      </c>
    </row>
    <row r="163" spans="1:17" x14ac:dyDescent="0.35">
      <c r="A163">
        <v>162</v>
      </c>
      <c r="B163" t="s">
        <v>497</v>
      </c>
      <c r="C163" t="s">
        <v>498</v>
      </c>
      <c r="D163" t="s">
        <v>1315</v>
      </c>
      <c r="E163">
        <v>40</v>
      </c>
      <c r="F163" t="str">
        <f t="shared" si="6"/>
        <v>adult</v>
      </c>
      <c r="G163" t="s">
        <v>427</v>
      </c>
      <c r="H163" t="str">
        <f t="shared" si="7"/>
        <v>Mar</v>
      </c>
      <c r="I163" t="s">
        <v>26</v>
      </c>
      <c r="J163" t="s">
        <v>56</v>
      </c>
      <c r="K163" t="s">
        <v>38</v>
      </c>
      <c r="L163" t="s">
        <v>32</v>
      </c>
      <c r="M163">
        <v>3</v>
      </c>
      <c r="N163" t="str">
        <f t="shared" si="8"/>
        <v>high</v>
      </c>
      <c r="O163">
        <v>5652</v>
      </c>
      <c r="P163" t="s">
        <v>57</v>
      </c>
      <c r="Q163" t="s">
        <v>58</v>
      </c>
    </row>
    <row r="164" spans="1:17" x14ac:dyDescent="0.35">
      <c r="A164">
        <v>163</v>
      </c>
      <c r="B164" t="s">
        <v>499</v>
      </c>
      <c r="C164" t="s">
        <v>500</v>
      </c>
      <c r="D164" t="s">
        <v>1316</v>
      </c>
      <c r="E164">
        <v>31</v>
      </c>
      <c r="F164" t="str">
        <f t="shared" si="6"/>
        <v>adult</v>
      </c>
      <c r="G164" t="s">
        <v>501</v>
      </c>
      <c r="H164" t="str">
        <f t="shared" si="7"/>
        <v>Jan</v>
      </c>
      <c r="I164" t="s">
        <v>17</v>
      </c>
      <c r="J164" t="s">
        <v>18</v>
      </c>
      <c r="K164" t="s">
        <v>38</v>
      </c>
      <c r="L164" t="s">
        <v>20</v>
      </c>
      <c r="M164">
        <v>5</v>
      </c>
      <c r="N164" t="str">
        <f t="shared" si="8"/>
        <v>high</v>
      </c>
      <c r="O164">
        <v>4520</v>
      </c>
      <c r="P164" t="s">
        <v>33</v>
      </c>
      <c r="Q164" t="s">
        <v>33</v>
      </c>
    </row>
    <row r="165" spans="1:17" x14ac:dyDescent="0.35">
      <c r="A165">
        <v>164</v>
      </c>
      <c r="B165" t="s">
        <v>502</v>
      </c>
      <c r="C165" t="s">
        <v>503</v>
      </c>
      <c r="D165" t="s">
        <v>1315</v>
      </c>
      <c r="E165">
        <v>49</v>
      </c>
      <c r="F165" t="str">
        <f t="shared" si="6"/>
        <v>senior</v>
      </c>
      <c r="G165" t="s">
        <v>504</v>
      </c>
      <c r="H165" t="str">
        <f t="shared" si="7"/>
        <v>Oct</v>
      </c>
      <c r="I165" t="s">
        <v>26</v>
      </c>
      <c r="J165" t="s">
        <v>56</v>
      </c>
      <c r="K165" t="s">
        <v>19</v>
      </c>
      <c r="L165" t="s">
        <v>20</v>
      </c>
      <c r="M165">
        <v>4</v>
      </c>
      <c r="N165" t="str">
        <f t="shared" si="8"/>
        <v>high</v>
      </c>
      <c r="O165">
        <v>7096</v>
      </c>
      <c r="P165" t="s">
        <v>33</v>
      </c>
      <c r="Q165" t="s">
        <v>33</v>
      </c>
    </row>
    <row r="166" spans="1:17" x14ac:dyDescent="0.35">
      <c r="A166">
        <v>165</v>
      </c>
      <c r="B166" t="s">
        <v>505</v>
      </c>
      <c r="C166" t="s">
        <v>506</v>
      </c>
      <c r="D166" t="s">
        <v>1316</v>
      </c>
      <c r="E166">
        <v>25</v>
      </c>
      <c r="F166" t="str">
        <f t="shared" si="6"/>
        <v>adult</v>
      </c>
      <c r="G166" t="s">
        <v>507</v>
      </c>
      <c r="H166" t="str">
        <f t="shared" si="7"/>
        <v>Feb</v>
      </c>
      <c r="I166" t="s">
        <v>31</v>
      </c>
      <c r="J166" t="s">
        <v>56</v>
      </c>
      <c r="K166" t="s">
        <v>49</v>
      </c>
      <c r="L166" t="s">
        <v>39</v>
      </c>
      <c r="M166">
        <v>4</v>
      </c>
      <c r="N166" t="str">
        <f t="shared" si="8"/>
        <v>high</v>
      </c>
      <c r="O166">
        <v>9232</v>
      </c>
      <c r="P166" t="s">
        <v>33</v>
      </c>
      <c r="Q166" t="s">
        <v>33</v>
      </c>
    </row>
    <row r="167" spans="1:17" x14ac:dyDescent="0.35">
      <c r="A167">
        <v>166</v>
      </c>
      <c r="B167" t="s">
        <v>508</v>
      </c>
      <c r="C167" t="s">
        <v>509</v>
      </c>
      <c r="D167" t="s">
        <v>1315</v>
      </c>
      <c r="E167">
        <v>20</v>
      </c>
      <c r="F167" t="str">
        <f t="shared" si="6"/>
        <v>teen</v>
      </c>
      <c r="G167" t="s">
        <v>510</v>
      </c>
      <c r="H167" t="str">
        <f t="shared" si="7"/>
        <v>Jun</v>
      </c>
      <c r="I167" t="s">
        <v>17</v>
      </c>
      <c r="J167" t="s">
        <v>18</v>
      </c>
      <c r="K167" t="s">
        <v>62</v>
      </c>
      <c r="L167" t="s">
        <v>66</v>
      </c>
      <c r="M167">
        <v>5</v>
      </c>
      <c r="N167" t="str">
        <f t="shared" si="8"/>
        <v>high</v>
      </c>
      <c r="O167">
        <v>9680</v>
      </c>
      <c r="P167" t="s">
        <v>44</v>
      </c>
      <c r="Q167" t="s">
        <v>45</v>
      </c>
    </row>
    <row r="168" spans="1:17" x14ac:dyDescent="0.35">
      <c r="A168">
        <v>167</v>
      </c>
      <c r="B168" t="s">
        <v>511</v>
      </c>
      <c r="C168" t="s">
        <v>512</v>
      </c>
      <c r="D168" t="s">
        <v>1316</v>
      </c>
      <c r="E168">
        <v>35</v>
      </c>
      <c r="F168" t="str">
        <f t="shared" si="6"/>
        <v>adult</v>
      </c>
      <c r="G168" t="s">
        <v>83</v>
      </c>
      <c r="H168" t="str">
        <f t="shared" si="7"/>
        <v>Jul</v>
      </c>
      <c r="I168" t="s">
        <v>17</v>
      </c>
      <c r="J168" t="s">
        <v>37</v>
      </c>
      <c r="K168" t="s">
        <v>49</v>
      </c>
      <c r="L168" t="s">
        <v>20</v>
      </c>
      <c r="M168">
        <v>2</v>
      </c>
      <c r="N168" t="str">
        <f t="shared" si="8"/>
        <v>high</v>
      </c>
      <c r="O168">
        <v>3210</v>
      </c>
      <c r="P168" t="s">
        <v>99</v>
      </c>
      <c r="Q168" t="s">
        <v>100</v>
      </c>
    </row>
    <row r="169" spans="1:17" x14ac:dyDescent="0.35">
      <c r="A169">
        <v>168</v>
      </c>
      <c r="B169" t="s">
        <v>513</v>
      </c>
      <c r="C169" t="s">
        <v>514</v>
      </c>
      <c r="D169" t="s">
        <v>1316</v>
      </c>
      <c r="E169">
        <v>58</v>
      </c>
      <c r="F169" t="str">
        <f t="shared" si="6"/>
        <v>senior</v>
      </c>
      <c r="G169" t="s">
        <v>515</v>
      </c>
      <c r="H169" t="str">
        <f t="shared" si="7"/>
        <v>Jan</v>
      </c>
      <c r="I169" t="s">
        <v>31</v>
      </c>
      <c r="J169" t="s">
        <v>37</v>
      </c>
      <c r="K169" t="s">
        <v>19</v>
      </c>
      <c r="L169" t="s">
        <v>66</v>
      </c>
      <c r="M169">
        <v>4</v>
      </c>
      <c r="N169" t="str">
        <f t="shared" si="8"/>
        <v>high</v>
      </c>
      <c r="O169">
        <v>3300</v>
      </c>
      <c r="P169" t="s">
        <v>21</v>
      </c>
      <c r="Q169" t="s">
        <v>22</v>
      </c>
    </row>
    <row r="170" spans="1:17" x14ac:dyDescent="0.35">
      <c r="A170">
        <v>169</v>
      </c>
      <c r="B170" t="s">
        <v>516</v>
      </c>
      <c r="C170" t="s">
        <v>517</v>
      </c>
      <c r="D170" t="s">
        <v>1315</v>
      </c>
      <c r="E170">
        <v>42</v>
      </c>
      <c r="F170" t="str">
        <f t="shared" si="6"/>
        <v>adult</v>
      </c>
      <c r="G170" t="s">
        <v>518</v>
      </c>
      <c r="H170" t="str">
        <f t="shared" si="7"/>
        <v>Feb</v>
      </c>
      <c r="I170" t="s">
        <v>26</v>
      </c>
      <c r="J170" t="s">
        <v>56</v>
      </c>
      <c r="K170" t="s">
        <v>62</v>
      </c>
      <c r="L170" t="s">
        <v>39</v>
      </c>
      <c r="M170">
        <v>1</v>
      </c>
      <c r="N170" t="str">
        <f t="shared" si="8"/>
        <v>low</v>
      </c>
      <c r="O170">
        <v>1339</v>
      </c>
      <c r="P170" t="s">
        <v>99</v>
      </c>
      <c r="Q170" t="s">
        <v>100</v>
      </c>
    </row>
    <row r="171" spans="1:17" x14ac:dyDescent="0.35">
      <c r="A171">
        <v>170</v>
      </c>
      <c r="B171" t="s">
        <v>519</v>
      </c>
      <c r="C171" t="s">
        <v>520</v>
      </c>
      <c r="D171" t="s">
        <v>1316</v>
      </c>
      <c r="E171">
        <v>22</v>
      </c>
      <c r="F171" t="str">
        <f t="shared" si="6"/>
        <v>teen</v>
      </c>
      <c r="G171" t="s">
        <v>521</v>
      </c>
      <c r="H171" t="str">
        <f t="shared" si="7"/>
        <v>Nov</v>
      </c>
      <c r="I171" t="s">
        <v>17</v>
      </c>
      <c r="J171" t="s">
        <v>56</v>
      </c>
      <c r="K171" t="s">
        <v>49</v>
      </c>
      <c r="L171" t="s">
        <v>32</v>
      </c>
      <c r="M171">
        <v>1</v>
      </c>
      <c r="N171" t="str">
        <f t="shared" si="8"/>
        <v>low</v>
      </c>
      <c r="O171">
        <v>2273</v>
      </c>
      <c r="P171" t="s">
        <v>44</v>
      </c>
      <c r="Q171" t="s">
        <v>45</v>
      </c>
    </row>
    <row r="172" spans="1:17" x14ac:dyDescent="0.35">
      <c r="A172">
        <v>171</v>
      </c>
      <c r="B172" t="s">
        <v>522</v>
      </c>
      <c r="C172" t="s">
        <v>523</v>
      </c>
      <c r="D172" t="s">
        <v>1315</v>
      </c>
      <c r="E172">
        <v>44</v>
      </c>
      <c r="F172" t="str">
        <f t="shared" si="6"/>
        <v>adult</v>
      </c>
      <c r="G172" t="s">
        <v>36</v>
      </c>
      <c r="H172" t="str">
        <f t="shared" si="7"/>
        <v>Feb</v>
      </c>
      <c r="I172" t="s">
        <v>26</v>
      </c>
      <c r="J172" t="s">
        <v>37</v>
      </c>
      <c r="K172" t="s">
        <v>38</v>
      </c>
      <c r="L172" t="s">
        <v>20</v>
      </c>
      <c r="M172">
        <v>2</v>
      </c>
      <c r="N172" t="str">
        <f t="shared" si="8"/>
        <v>high</v>
      </c>
      <c r="O172">
        <v>3106</v>
      </c>
      <c r="P172" t="s">
        <v>79</v>
      </c>
      <c r="Q172" t="s">
        <v>80</v>
      </c>
    </row>
    <row r="173" spans="1:17" x14ac:dyDescent="0.35">
      <c r="A173">
        <v>172</v>
      </c>
      <c r="B173" t="s">
        <v>524</v>
      </c>
      <c r="C173" t="s">
        <v>525</v>
      </c>
      <c r="D173" t="s">
        <v>1315</v>
      </c>
      <c r="E173">
        <v>59</v>
      </c>
      <c r="F173" t="str">
        <f t="shared" si="6"/>
        <v>senior</v>
      </c>
      <c r="G173" t="s">
        <v>526</v>
      </c>
      <c r="H173" t="str">
        <f t="shared" si="7"/>
        <v>Mar</v>
      </c>
      <c r="I173" t="s">
        <v>31</v>
      </c>
      <c r="J173" t="s">
        <v>56</v>
      </c>
      <c r="K173" t="s">
        <v>62</v>
      </c>
      <c r="L173" t="s">
        <v>66</v>
      </c>
      <c r="M173">
        <v>2</v>
      </c>
      <c r="N173" t="str">
        <f t="shared" si="8"/>
        <v>low</v>
      </c>
      <c r="O173">
        <v>1102</v>
      </c>
      <c r="P173" t="s">
        <v>40</v>
      </c>
      <c r="Q173" t="s">
        <v>22</v>
      </c>
    </row>
    <row r="174" spans="1:17" x14ac:dyDescent="0.35">
      <c r="A174">
        <v>173</v>
      </c>
      <c r="B174" t="s">
        <v>527</v>
      </c>
      <c r="C174" t="s">
        <v>528</v>
      </c>
      <c r="D174" t="s">
        <v>1315</v>
      </c>
      <c r="E174">
        <v>46</v>
      </c>
      <c r="F174" t="str">
        <f t="shared" si="6"/>
        <v>senior</v>
      </c>
      <c r="G174" t="s">
        <v>357</v>
      </c>
      <c r="H174" t="str">
        <f t="shared" si="7"/>
        <v>Jan</v>
      </c>
      <c r="I174" t="s">
        <v>17</v>
      </c>
      <c r="J174" t="s">
        <v>18</v>
      </c>
      <c r="K174" t="s">
        <v>62</v>
      </c>
      <c r="L174" t="s">
        <v>39</v>
      </c>
      <c r="M174">
        <v>5</v>
      </c>
      <c r="N174" t="str">
        <f t="shared" si="8"/>
        <v>high</v>
      </c>
      <c r="O174">
        <v>5555</v>
      </c>
      <c r="P174" t="s">
        <v>33</v>
      </c>
      <c r="Q174" t="s">
        <v>33</v>
      </c>
    </row>
    <row r="175" spans="1:17" x14ac:dyDescent="0.35">
      <c r="A175">
        <v>174</v>
      </c>
      <c r="B175" t="s">
        <v>529</v>
      </c>
      <c r="C175" t="s">
        <v>530</v>
      </c>
      <c r="D175" t="s">
        <v>1316</v>
      </c>
      <c r="E175">
        <v>55</v>
      </c>
      <c r="F175" t="str">
        <f t="shared" si="6"/>
        <v>senior</v>
      </c>
      <c r="G175" t="s">
        <v>72</v>
      </c>
      <c r="H175" t="str">
        <f t="shared" si="7"/>
        <v>Aug</v>
      </c>
      <c r="I175" t="s">
        <v>17</v>
      </c>
      <c r="J175" t="s">
        <v>37</v>
      </c>
      <c r="K175" t="s">
        <v>38</v>
      </c>
      <c r="L175" t="s">
        <v>32</v>
      </c>
      <c r="M175">
        <v>4</v>
      </c>
      <c r="N175" t="str">
        <f t="shared" si="8"/>
        <v>high</v>
      </c>
      <c r="O175">
        <v>11756</v>
      </c>
      <c r="P175" t="s">
        <v>99</v>
      </c>
      <c r="Q175" t="s">
        <v>100</v>
      </c>
    </row>
    <row r="176" spans="1:17" x14ac:dyDescent="0.35">
      <c r="A176">
        <v>175</v>
      </c>
      <c r="B176" t="s">
        <v>531</v>
      </c>
      <c r="C176" t="s">
        <v>532</v>
      </c>
      <c r="D176" t="s">
        <v>1315</v>
      </c>
      <c r="E176">
        <v>45</v>
      </c>
      <c r="F176" t="str">
        <f t="shared" si="6"/>
        <v>adult</v>
      </c>
      <c r="G176" t="s">
        <v>533</v>
      </c>
      <c r="H176" t="str">
        <f t="shared" si="7"/>
        <v>Aug</v>
      </c>
      <c r="I176" t="s">
        <v>31</v>
      </c>
      <c r="J176" t="s">
        <v>37</v>
      </c>
      <c r="K176" t="s">
        <v>19</v>
      </c>
      <c r="L176" t="s">
        <v>20</v>
      </c>
      <c r="M176">
        <v>5</v>
      </c>
      <c r="N176" t="str">
        <f t="shared" si="8"/>
        <v>high</v>
      </c>
      <c r="O176">
        <v>4875</v>
      </c>
      <c r="P176" t="s">
        <v>40</v>
      </c>
      <c r="Q176" t="s">
        <v>22</v>
      </c>
    </row>
    <row r="177" spans="1:17" x14ac:dyDescent="0.35">
      <c r="A177">
        <v>176</v>
      </c>
      <c r="B177" t="s">
        <v>534</v>
      </c>
      <c r="C177" t="s">
        <v>535</v>
      </c>
      <c r="D177" t="s">
        <v>1316</v>
      </c>
      <c r="E177">
        <v>55</v>
      </c>
      <c r="F177" t="str">
        <f t="shared" si="6"/>
        <v>senior</v>
      </c>
      <c r="G177" t="s">
        <v>536</v>
      </c>
      <c r="H177" t="str">
        <f t="shared" si="7"/>
        <v>May</v>
      </c>
      <c r="I177" t="s">
        <v>26</v>
      </c>
      <c r="J177" t="s">
        <v>18</v>
      </c>
      <c r="K177" t="s">
        <v>49</v>
      </c>
      <c r="L177" t="s">
        <v>32</v>
      </c>
      <c r="M177">
        <v>3</v>
      </c>
      <c r="N177" t="str">
        <f t="shared" si="8"/>
        <v>low</v>
      </c>
      <c r="O177">
        <v>2727</v>
      </c>
      <c r="P177" t="s">
        <v>40</v>
      </c>
      <c r="Q177" t="s">
        <v>22</v>
      </c>
    </row>
    <row r="178" spans="1:17" x14ac:dyDescent="0.35">
      <c r="A178">
        <v>177</v>
      </c>
      <c r="B178" t="s">
        <v>537</v>
      </c>
      <c r="C178" t="s">
        <v>538</v>
      </c>
      <c r="D178" t="s">
        <v>1316</v>
      </c>
      <c r="E178">
        <v>56</v>
      </c>
      <c r="F178" t="str">
        <f t="shared" si="6"/>
        <v>senior</v>
      </c>
      <c r="G178" t="s">
        <v>123</v>
      </c>
      <c r="H178" t="str">
        <f t="shared" si="7"/>
        <v>May</v>
      </c>
      <c r="I178" t="s">
        <v>17</v>
      </c>
      <c r="J178" t="s">
        <v>56</v>
      </c>
      <c r="K178" t="s">
        <v>38</v>
      </c>
      <c r="L178" t="s">
        <v>32</v>
      </c>
      <c r="M178">
        <v>3</v>
      </c>
      <c r="N178" t="str">
        <f t="shared" si="8"/>
        <v>high</v>
      </c>
      <c r="O178">
        <v>4035</v>
      </c>
      <c r="P178" t="s">
        <v>27</v>
      </c>
      <c r="Q178" t="s">
        <v>22</v>
      </c>
    </row>
    <row r="179" spans="1:17" x14ac:dyDescent="0.35">
      <c r="A179">
        <v>178</v>
      </c>
      <c r="B179" t="s">
        <v>539</v>
      </c>
      <c r="C179" t="s">
        <v>540</v>
      </c>
      <c r="D179" t="s">
        <v>1316</v>
      </c>
      <c r="E179">
        <v>59</v>
      </c>
      <c r="F179" t="str">
        <f t="shared" si="6"/>
        <v>senior</v>
      </c>
      <c r="G179" t="s">
        <v>541</v>
      </c>
      <c r="H179" t="str">
        <f t="shared" si="7"/>
        <v>Oct</v>
      </c>
      <c r="I179" t="s">
        <v>17</v>
      </c>
      <c r="J179" t="s">
        <v>56</v>
      </c>
      <c r="K179" t="s">
        <v>49</v>
      </c>
      <c r="L179" t="s">
        <v>20</v>
      </c>
      <c r="M179">
        <v>2</v>
      </c>
      <c r="N179" t="str">
        <f t="shared" si="8"/>
        <v>high</v>
      </c>
      <c r="O179">
        <v>4232</v>
      </c>
      <c r="P179" t="s">
        <v>99</v>
      </c>
      <c r="Q179" t="s">
        <v>100</v>
      </c>
    </row>
    <row r="180" spans="1:17" x14ac:dyDescent="0.35">
      <c r="A180">
        <v>179</v>
      </c>
      <c r="B180" t="s">
        <v>542</v>
      </c>
      <c r="C180" t="s">
        <v>543</v>
      </c>
      <c r="D180" t="s">
        <v>1316</v>
      </c>
      <c r="E180">
        <v>40</v>
      </c>
      <c r="F180" t="str">
        <f t="shared" si="6"/>
        <v>adult</v>
      </c>
      <c r="G180" t="s">
        <v>544</v>
      </c>
      <c r="H180" t="str">
        <f t="shared" si="7"/>
        <v>Aug</v>
      </c>
      <c r="I180" t="s">
        <v>17</v>
      </c>
      <c r="J180" t="s">
        <v>56</v>
      </c>
      <c r="K180" t="s">
        <v>49</v>
      </c>
      <c r="L180" t="s">
        <v>39</v>
      </c>
      <c r="M180">
        <v>1</v>
      </c>
      <c r="N180" t="str">
        <f t="shared" si="8"/>
        <v>low</v>
      </c>
      <c r="O180">
        <v>2603</v>
      </c>
      <c r="P180" t="s">
        <v>79</v>
      </c>
      <c r="Q180" t="s">
        <v>80</v>
      </c>
    </row>
    <row r="181" spans="1:17" x14ac:dyDescent="0.35">
      <c r="A181">
        <v>180</v>
      </c>
      <c r="B181" t="s">
        <v>545</v>
      </c>
      <c r="C181" t="s">
        <v>546</v>
      </c>
      <c r="D181" t="s">
        <v>1315</v>
      </c>
      <c r="E181">
        <v>50</v>
      </c>
      <c r="F181" t="str">
        <f t="shared" si="6"/>
        <v>senior</v>
      </c>
      <c r="G181" t="s">
        <v>69</v>
      </c>
      <c r="H181" t="str">
        <f t="shared" si="7"/>
        <v>Dec</v>
      </c>
      <c r="I181" t="s">
        <v>26</v>
      </c>
      <c r="J181" t="s">
        <v>56</v>
      </c>
      <c r="K181" t="s">
        <v>38</v>
      </c>
      <c r="L181" t="s">
        <v>32</v>
      </c>
      <c r="M181">
        <v>2</v>
      </c>
      <c r="N181" t="str">
        <f t="shared" si="8"/>
        <v>high</v>
      </c>
      <c r="O181">
        <v>4822</v>
      </c>
      <c r="P181" t="s">
        <v>40</v>
      </c>
      <c r="Q181" t="s">
        <v>22</v>
      </c>
    </row>
    <row r="182" spans="1:17" x14ac:dyDescent="0.35">
      <c r="A182">
        <v>181</v>
      </c>
      <c r="B182" t="s">
        <v>547</v>
      </c>
      <c r="C182" t="s">
        <v>548</v>
      </c>
      <c r="D182" t="s">
        <v>1316</v>
      </c>
      <c r="E182">
        <v>53</v>
      </c>
      <c r="F182" t="str">
        <f t="shared" si="6"/>
        <v>senior</v>
      </c>
      <c r="G182" t="s">
        <v>436</v>
      </c>
      <c r="H182" t="str">
        <f t="shared" si="7"/>
        <v>Sep</v>
      </c>
      <c r="I182" t="s">
        <v>31</v>
      </c>
      <c r="J182" t="s">
        <v>37</v>
      </c>
      <c r="K182" t="s">
        <v>38</v>
      </c>
      <c r="L182" t="s">
        <v>66</v>
      </c>
      <c r="M182">
        <v>1</v>
      </c>
      <c r="N182" t="str">
        <f t="shared" si="8"/>
        <v>low</v>
      </c>
      <c r="O182">
        <v>1801</v>
      </c>
      <c r="P182" t="s">
        <v>79</v>
      </c>
      <c r="Q182" t="s">
        <v>80</v>
      </c>
    </row>
    <row r="183" spans="1:17" x14ac:dyDescent="0.35">
      <c r="A183">
        <v>182</v>
      </c>
      <c r="B183" t="s">
        <v>549</v>
      </c>
      <c r="C183" t="s">
        <v>550</v>
      </c>
      <c r="D183" t="s">
        <v>1316</v>
      </c>
      <c r="E183">
        <v>41</v>
      </c>
      <c r="F183" t="str">
        <f t="shared" si="6"/>
        <v>adult</v>
      </c>
      <c r="G183" t="s">
        <v>551</v>
      </c>
      <c r="H183" t="str">
        <f t="shared" si="7"/>
        <v>Dec</v>
      </c>
      <c r="I183" t="s">
        <v>26</v>
      </c>
      <c r="J183" t="s">
        <v>18</v>
      </c>
      <c r="K183" t="s">
        <v>62</v>
      </c>
      <c r="L183" t="s">
        <v>66</v>
      </c>
      <c r="M183">
        <v>3</v>
      </c>
      <c r="N183" t="str">
        <f t="shared" si="8"/>
        <v>low</v>
      </c>
      <c r="O183">
        <v>2460</v>
      </c>
      <c r="P183" t="s">
        <v>99</v>
      </c>
      <c r="Q183" t="s">
        <v>100</v>
      </c>
    </row>
    <row r="184" spans="1:17" x14ac:dyDescent="0.35">
      <c r="A184">
        <v>183</v>
      </c>
      <c r="B184" t="s">
        <v>552</v>
      </c>
      <c r="C184" t="s">
        <v>553</v>
      </c>
      <c r="D184" t="s">
        <v>1316</v>
      </c>
      <c r="E184">
        <v>42</v>
      </c>
      <c r="F184" t="str">
        <f t="shared" si="6"/>
        <v>adult</v>
      </c>
      <c r="G184" t="s">
        <v>269</v>
      </c>
      <c r="H184" t="str">
        <f t="shared" si="7"/>
        <v>Nov</v>
      </c>
      <c r="I184" t="s">
        <v>26</v>
      </c>
      <c r="J184" t="s">
        <v>18</v>
      </c>
      <c r="K184" t="s">
        <v>19</v>
      </c>
      <c r="L184" t="s">
        <v>66</v>
      </c>
      <c r="M184">
        <v>3</v>
      </c>
      <c r="N184" t="str">
        <f t="shared" si="8"/>
        <v>low</v>
      </c>
      <c r="O184">
        <v>1683</v>
      </c>
      <c r="P184" t="s">
        <v>40</v>
      </c>
      <c r="Q184" t="s">
        <v>22</v>
      </c>
    </row>
    <row r="185" spans="1:17" x14ac:dyDescent="0.35">
      <c r="A185">
        <v>184</v>
      </c>
      <c r="B185" t="s">
        <v>554</v>
      </c>
      <c r="C185" t="s">
        <v>555</v>
      </c>
      <c r="D185" t="s">
        <v>1315</v>
      </c>
      <c r="E185">
        <v>22</v>
      </c>
      <c r="F185" t="str">
        <f t="shared" si="6"/>
        <v>teen</v>
      </c>
      <c r="G185" t="s">
        <v>470</v>
      </c>
      <c r="H185" t="str">
        <f t="shared" si="7"/>
        <v>Aug</v>
      </c>
      <c r="I185" t="s">
        <v>26</v>
      </c>
      <c r="J185" t="s">
        <v>56</v>
      </c>
      <c r="K185" t="s">
        <v>38</v>
      </c>
      <c r="L185" t="s">
        <v>39</v>
      </c>
      <c r="M185">
        <v>3</v>
      </c>
      <c r="N185" t="str">
        <f t="shared" si="8"/>
        <v>high</v>
      </c>
      <c r="O185">
        <v>6315</v>
      </c>
      <c r="P185" t="s">
        <v>33</v>
      </c>
      <c r="Q185" t="s">
        <v>33</v>
      </c>
    </row>
    <row r="186" spans="1:17" x14ac:dyDescent="0.35">
      <c r="A186">
        <v>185</v>
      </c>
      <c r="B186" t="s">
        <v>556</v>
      </c>
      <c r="C186" t="s">
        <v>557</v>
      </c>
      <c r="D186" t="s">
        <v>1315</v>
      </c>
      <c r="E186">
        <v>56</v>
      </c>
      <c r="F186" t="str">
        <f t="shared" si="6"/>
        <v>senior</v>
      </c>
      <c r="G186" t="s">
        <v>558</v>
      </c>
      <c r="H186" t="str">
        <f t="shared" si="7"/>
        <v>Jul</v>
      </c>
      <c r="I186" t="s">
        <v>26</v>
      </c>
      <c r="J186" t="s">
        <v>18</v>
      </c>
      <c r="K186" t="s">
        <v>49</v>
      </c>
      <c r="L186" t="s">
        <v>39</v>
      </c>
      <c r="M186">
        <v>5</v>
      </c>
      <c r="N186" t="str">
        <f t="shared" si="8"/>
        <v>high</v>
      </c>
      <c r="O186">
        <v>14480</v>
      </c>
      <c r="P186" t="s">
        <v>57</v>
      </c>
      <c r="Q186" t="s">
        <v>58</v>
      </c>
    </row>
    <row r="187" spans="1:17" x14ac:dyDescent="0.35">
      <c r="A187">
        <v>186</v>
      </c>
      <c r="B187" t="s">
        <v>559</v>
      </c>
      <c r="C187" t="s">
        <v>560</v>
      </c>
      <c r="D187" t="s">
        <v>1316</v>
      </c>
      <c r="E187">
        <v>43</v>
      </c>
      <c r="F187" t="str">
        <f t="shared" si="6"/>
        <v>adult</v>
      </c>
      <c r="G187" t="s">
        <v>92</v>
      </c>
      <c r="H187" t="str">
        <f t="shared" si="7"/>
        <v>Dec</v>
      </c>
      <c r="I187" t="s">
        <v>31</v>
      </c>
      <c r="J187" t="s">
        <v>37</v>
      </c>
      <c r="K187" t="s">
        <v>49</v>
      </c>
      <c r="L187" t="s">
        <v>20</v>
      </c>
      <c r="M187">
        <v>5</v>
      </c>
      <c r="N187" t="str">
        <f t="shared" si="8"/>
        <v>high</v>
      </c>
      <c r="O187">
        <v>7345</v>
      </c>
      <c r="P187" t="s">
        <v>99</v>
      </c>
      <c r="Q187" t="s">
        <v>100</v>
      </c>
    </row>
    <row r="188" spans="1:17" x14ac:dyDescent="0.35">
      <c r="A188">
        <v>187</v>
      </c>
      <c r="B188" t="s">
        <v>561</v>
      </c>
      <c r="C188" t="s">
        <v>562</v>
      </c>
      <c r="D188" t="s">
        <v>1316</v>
      </c>
      <c r="E188">
        <v>43</v>
      </c>
      <c r="F188" t="str">
        <f t="shared" si="6"/>
        <v>adult</v>
      </c>
      <c r="G188" t="s">
        <v>563</v>
      </c>
      <c r="H188" t="str">
        <f t="shared" si="7"/>
        <v>Nov</v>
      </c>
      <c r="I188" t="s">
        <v>26</v>
      </c>
      <c r="J188" t="s">
        <v>37</v>
      </c>
      <c r="K188" t="s">
        <v>49</v>
      </c>
      <c r="L188" t="s">
        <v>66</v>
      </c>
      <c r="M188">
        <v>5</v>
      </c>
      <c r="N188" t="str">
        <f t="shared" si="8"/>
        <v>high</v>
      </c>
      <c r="O188">
        <v>11865</v>
      </c>
      <c r="P188" t="s">
        <v>44</v>
      </c>
      <c r="Q188" t="s">
        <v>45</v>
      </c>
    </row>
    <row r="189" spans="1:17" x14ac:dyDescent="0.35">
      <c r="A189">
        <v>188</v>
      </c>
      <c r="B189" t="s">
        <v>564</v>
      </c>
      <c r="C189" t="s">
        <v>565</v>
      </c>
      <c r="D189" t="s">
        <v>1316</v>
      </c>
      <c r="E189">
        <v>53</v>
      </c>
      <c r="F189" t="str">
        <f t="shared" si="6"/>
        <v>senior</v>
      </c>
      <c r="G189" t="s">
        <v>179</v>
      </c>
      <c r="H189" t="str">
        <f t="shared" si="7"/>
        <v>Jun</v>
      </c>
      <c r="I189" t="s">
        <v>17</v>
      </c>
      <c r="J189" t="s">
        <v>56</v>
      </c>
      <c r="K189" t="s">
        <v>49</v>
      </c>
      <c r="L189" t="s">
        <v>66</v>
      </c>
      <c r="M189">
        <v>2</v>
      </c>
      <c r="N189" t="str">
        <f t="shared" si="8"/>
        <v>high</v>
      </c>
      <c r="O189">
        <v>4810</v>
      </c>
      <c r="P189" t="s">
        <v>27</v>
      </c>
      <c r="Q189" t="s">
        <v>22</v>
      </c>
    </row>
    <row r="190" spans="1:17" x14ac:dyDescent="0.35">
      <c r="A190">
        <v>189</v>
      </c>
      <c r="B190" t="s">
        <v>566</v>
      </c>
      <c r="C190" t="s">
        <v>567</v>
      </c>
      <c r="D190" t="s">
        <v>1315</v>
      </c>
      <c r="E190">
        <v>52</v>
      </c>
      <c r="F190" t="str">
        <f t="shared" si="6"/>
        <v>senior</v>
      </c>
      <c r="G190" t="s">
        <v>430</v>
      </c>
      <c r="H190" t="str">
        <f t="shared" si="7"/>
        <v>Nov</v>
      </c>
      <c r="I190" t="s">
        <v>26</v>
      </c>
      <c r="J190" t="s">
        <v>56</v>
      </c>
      <c r="K190" t="s">
        <v>49</v>
      </c>
      <c r="L190" t="s">
        <v>66</v>
      </c>
      <c r="M190">
        <v>1</v>
      </c>
      <c r="N190" t="str">
        <f t="shared" si="8"/>
        <v>low</v>
      </c>
      <c r="O190">
        <v>1222</v>
      </c>
      <c r="P190" t="s">
        <v>79</v>
      </c>
      <c r="Q190" t="s">
        <v>80</v>
      </c>
    </row>
    <row r="191" spans="1:17" x14ac:dyDescent="0.35">
      <c r="A191">
        <v>190</v>
      </c>
      <c r="B191" t="s">
        <v>568</v>
      </c>
      <c r="C191" t="s">
        <v>569</v>
      </c>
      <c r="D191" t="s">
        <v>1315</v>
      </c>
      <c r="E191">
        <v>48</v>
      </c>
      <c r="F191" t="str">
        <f t="shared" si="6"/>
        <v>senior</v>
      </c>
      <c r="G191" t="s">
        <v>450</v>
      </c>
      <c r="H191" t="str">
        <f t="shared" si="7"/>
        <v>Nov</v>
      </c>
      <c r="I191" t="s">
        <v>17</v>
      </c>
      <c r="J191" t="s">
        <v>56</v>
      </c>
      <c r="K191" t="s">
        <v>62</v>
      </c>
      <c r="L191" t="s">
        <v>32</v>
      </c>
      <c r="M191">
        <v>2</v>
      </c>
      <c r="N191" t="str">
        <f t="shared" si="8"/>
        <v>high</v>
      </c>
      <c r="O191">
        <v>5714</v>
      </c>
      <c r="P191" t="s">
        <v>99</v>
      </c>
      <c r="Q191" t="s">
        <v>100</v>
      </c>
    </row>
    <row r="192" spans="1:17" x14ac:dyDescent="0.35">
      <c r="A192">
        <v>191</v>
      </c>
      <c r="B192" t="s">
        <v>570</v>
      </c>
      <c r="C192" t="s">
        <v>571</v>
      </c>
      <c r="D192" t="s">
        <v>1316</v>
      </c>
      <c r="E192">
        <v>45</v>
      </c>
      <c r="F192" t="str">
        <f t="shared" si="6"/>
        <v>adult</v>
      </c>
      <c r="G192" t="s">
        <v>572</v>
      </c>
      <c r="H192" t="str">
        <f t="shared" si="7"/>
        <v>Apr</v>
      </c>
      <c r="I192" t="s">
        <v>26</v>
      </c>
      <c r="J192" t="s">
        <v>18</v>
      </c>
      <c r="K192" t="s">
        <v>49</v>
      </c>
      <c r="L192" t="s">
        <v>32</v>
      </c>
      <c r="M192">
        <v>3</v>
      </c>
      <c r="N192" t="str">
        <f t="shared" si="8"/>
        <v>low</v>
      </c>
      <c r="O192">
        <v>2499</v>
      </c>
      <c r="P192" t="s">
        <v>79</v>
      </c>
      <c r="Q192" t="s">
        <v>80</v>
      </c>
    </row>
    <row r="193" spans="1:17" x14ac:dyDescent="0.35">
      <c r="A193">
        <v>192</v>
      </c>
      <c r="B193" t="s">
        <v>573</v>
      </c>
      <c r="C193" t="s">
        <v>574</v>
      </c>
      <c r="D193" t="s">
        <v>1315</v>
      </c>
      <c r="E193">
        <v>31</v>
      </c>
      <c r="F193" t="str">
        <f t="shared" si="6"/>
        <v>adult</v>
      </c>
      <c r="G193" t="s">
        <v>237</v>
      </c>
      <c r="H193" t="str">
        <f t="shared" si="7"/>
        <v>Mar</v>
      </c>
      <c r="I193" t="s">
        <v>26</v>
      </c>
      <c r="J193" t="s">
        <v>56</v>
      </c>
      <c r="K193" t="s">
        <v>38</v>
      </c>
      <c r="L193" t="s">
        <v>66</v>
      </c>
      <c r="M193">
        <v>5</v>
      </c>
      <c r="N193" t="str">
        <f t="shared" si="8"/>
        <v>high</v>
      </c>
      <c r="O193">
        <v>8010</v>
      </c>
      <c r="P193" t="s">
        <v>27</v>
      </c>
      <c r="Q193" t="s">
        <v>22</v>
      </c>
    </row>
    <row r="194" spans="1:17" x14ac:dyDescent="0.35">
      <c r="A194">
        <v>193</v>
      </c>
      <c r="B194" t="s">
        <v>575</v>
      </c>
      <c r="C194" t="s">
        <v>576</v>
      </c>
      <c r="D194" t="s">
        <v>1316</v>
      </c>
      <c r="E194">
        <v>59</v>
      </c>
      <c r="F194" t="str">
        <f t="shared" si="6"/>
        <v>senior</v>
      </c>
      <c r="G194" t="s">
        <v>405</v>
      </c>
      <c r="H194" t="str">
        <f t="shared" si="7"/>
        <v>Sep</v>
      </c>
      <c r="I194" t="s">
        <v>26</v>
      </c>
      <c r="J194" t="s">
        <v>56</v>
      </c>
      <c r="K194" t="s">
        <v>49</v>
      </c>
      <c r="L194" t="s">
        <v>20</v>
      </c>
      <c r="M194">
        <v>4</v>
      </c>
      <c r="N194" t="str">
        <f t="shared" si="8"/>
        <v>high</v>
      </c>
      <c r="O194">
        <v>5580</v>
      </c>
      <c r="P194" t="s">
        <v>27</v>
      </c>
      <c r="Q194" t="s">
        <v>22</v>
      </c>
    </row>
    <row r="195" spans="1:17" x14ac:dyDescent="0.35">
      <c r="A195">
        <v>194</v>
      </c>
      <c r="B195" t="s">
        <v>577</v>
      </c>
      <c r="C195" t="s">
        <v>578</v>
      </c>
      <c r="D195" t="s">
        <v>1315</v>
      </c>
      <c r="E195">
        <v>55</v>
      </c>
      <c r="F195" t="str">
        <f t="shared" ref="F195:F258" si="9">IF(E195&gt;45,"senior",IF(E195&gt;=25,"adult","teen"))</f>
        <v>senior</v>
      </c>
      <c r="G195" t="s">
        <v>579</v>
      </c>
      <c r="H195" t="str">
        <f t="shared" ref="H195:H258" si="10">TEXT(G195,"mmm")</f>
        <v>Oct</v>
      </c>
      <c r="I195" t="s">
        <v>26</v>
      </c>
      <c r="J195" t="s">
        <v>56</v>
      </c>
      <c r="K195" t="s">
        <v>62</v>
      </c>
      <c r="L195" t="s">
        <v>20</v>
      </c>
      <c r="M195">
        <v>5</v>
      </c>
      <c r="N195" t="str">
        <f t="shared" ref="N195:N258" si="11">IF(O195&gt;=3000,"high",IF(O195&gt;=500,"low","medium"))</f>
        <v>high</v>
      </c>
      <c r="O195">
        <v>8855</v>
      </c>
      <c r="P195" t="s">
        <v>99</v>
      </c>
      <c r="Q195" t="s">
        <v>100</v>
      </c>
    </row>
    <row r="196" spans="1:17" x14ac:dyDescent="0.35">
      <c r="A196">
        <v>195</v>
      </c>
      <c r="B196" t="s">
        <v>580</v>
      </c>
      <c r="C196" t="s">
        <v>581</v>
      </c>
      <c r="D196" t="s">
        <v>1316</v>
      </c>
      <c r="E196">
        <v>47</v>
      </c>
      <c r="F196" t="str">
        <f t="shared" si="9"/>
        <v>senior</v>
      </c>
      <c r="G196" t="s">
        <v>582</v>
      </c>
      <c r="H196" t="str">
        <f t="shared" si="10"/>
        <v>May</v>
      </c>
      <c r="I196" t="s">
        <v>31</v>
      </c>
      <c r="J196" t="s">
        <v>37</v>
      </c>
      <c r="K196" t="s">
        <v>62</v>
      </c>
      <c r="L196" t="s">
        <v>39</v>
      </c>
      <c r="M196">
        <v>3</v>
      </c>
      <c r="N196" t="str">
        <f t="shared" si="11"/>
        <v>high</v>
      </c>
      <c r="O196">
        <v>5748</v>
      </c>
      <c r="P196" t="s">
        <v>33</v>
      </c>
      <c r="Q196" t="s">
        <v>33</v>
      </c>
    </row>
    <row r="197" spans="1:17" x14ac:dyDescent="0.35">
      <c r="A197">
        <v>196</v>
      </c>
      <c r="B197" t="s">
        <v>583</v>
      </c>
      <c r="C197" t="s">
        <v>584</v>
      </c>
      <c r="D197" t="s">
        <v>1316</v>
      </c>
      <c r="E197">
        <v>42</v>
      </c>
      <c r="F197" t="str">
        <f t="shared" si="9"/>
        <v>adult</v>
      </c>
      <c r="G197" t="s">
        <v>585</v>
      </c>
      <c r="H197" t="str">
        <f t="shared" si="10"/>
        <v>Jul</v>
      </c>
      <c r="I197" t="s">
        <v>17</v>
      </c>
      <c r="J197" t="s">
        <v>37</v>
      </c>
      <c r="K197" t="s">
        <v>49</v>
      </c>
      <c r="L197" t="s">
        <v>39</v>
      </c>
      <c r="M197">
        <v>3</v>
      </c>
      <c r="N197" t="str">
        <f t="shared" si="11"/>
        <v>high</v>
      </c>
      <c r="O197">
        <v>5889</v>
      </c>
      <c r="P197" t="s">
        <v>79</v>
      </c>
      <c r="Q197" t="s">
        <v>80</v>
      </c>
    </row>
    <row r="198" spans="1:17" x14ac:dyDescent="0.35">
      <c r="A198">
        <v>197</v>
      </c>
      <c r="B198" t="s">
        <v>586</v>
      </c>
      <c r="C198" t="s">
        <v>587</v>
      </c>
      <c r="D198" t="s">
        <v>1316</v>
      </c>
      <c r="E198">
        <v>46</v>
      </c>
      <c r="F198" t="str">
        <f t="shared" si="9"/>
        <v>senior</v>
      </c>
      <c r="G198" t="s">
        <v>588</v>
      </c>
      <c r="H198" t="str">
        <f t="shared" si="10"/>
        <v>Apr</v>
      </c>
      <c r="I198" t="s">
        <v>31</v>
      </c>
      <c r="J198" t="s">
        <v>56</v>
      </c>
      <c r="K198" t="s">
        <v>38</v>
      </c>
      <c r="L198" t="s">
        <v>66</v>
      </c>
      <c r="M198">
        <v>5</v>
      </c>
      <c r="N198" t="str">
        <f t="shared" si="11"/>
        <v>high</v>
      </c>
      <c r="O198">
        <v>9655</v>
      </c>
      <c r="P198" t="s">
        <v>99</v>
      </c>
      <c r="Q198" t="s">
        <v>100</v>
      </c>
    </row>
    <row r="199" spans="1:17" x14ac:dyDescent="0.35">
      <c r="A199">
        <v>198</v>
      </c>
      <c r="B199" t="s">
        <v>589</v>
      </c>
      <c r="C199" t="s">
        <v>590</v>
      </c>
      <c r="D199" t="s">
        <v>1315</v>
      </c>
      <c r="E199">
        <v>51</v>
      </c>
      <c r="F199" t="str">
        <f t="shared" si="9"/>
        <v>senior</v>
      </c>
      <c r="G199" t="s">
        <v>591</v>
      </c>
      <c r="H199" t="str">
        <f t="shared" si="10"/>
        <v>Jul</v>
      </c>
      <c r="I199" t="s">
        <v>17</v>
      </c>
      <c r="J199" t="s">
        <v>18</v>
      </c>
      <c r="K199" t="s">
        <v>49</v>
      </c>
      <c r="L199" t="s">
        <v>39</v>
      </c>
      <c r="M199">
        <v>5</v>
      </c>
      <c r="N199" t="str">
        <f t="shared" si="11"/>
        <v>high</v>
      </c>
      <c r="O199">
        <v>6965</v>
      </c>
      <c r="P199" t="s">
        <v>27</v>
      </c>
      <c r="Q199" t="s">
        <v>22</v>
      </c>
    </row>
    <row r="200" spans="1:17" x14ac:dyDescent="0.35">
      <c r="A200">
        <v>199</v>
      </c>
      <c r="B200" t="s">
        <v>592</v>
      </c>
      <c r="C200" t="s">
        <v>593</v>
      </c>
      <c r="D200" t="s">
        <v>1315</v>
      </c>
      <c r="E200">
        <v>46</v>
      </c>
      <c r="F200" t="str">
        <f t="shared" si="9"/>
        <v>senior</v>
      </c>
      <c r="G200" t="s">
        <v>594</v>
      </c>
      <c r="H200" t="str">
        <f t="shared" si="10"/>
        <v>Feb</v>
      </c>
      <c r="I200" t="s">
        <v>31</v>
      </c>
      <c r="J200" t="s">
        <v>56</v>
      </c>
      <c r="K200" t="s">
        <v>49</v>
      </c>
      <c r="L200" t="s">
        <v>32</v>
      </c>
      <c r="M200">
        <v>2</v>
      </c>
      <c r="N200" t="str">
        <f t="shared" si="11"/>
        <v>high</v>
      </c>
      <c r="O200">
        <v>5786</v>
      </c>
      <c r="P200" t="s">
        <v>40</v>
      </c>
      <c r="Q200" t="s">
        <v>22</v>
      </c>
    </row>
    <row r="201" spans="1:17" x14ac:dyDescent="0.35">
      <c r="A201">
        <v>200</v>
      </c>
      <c r="B201" t="s">
        <v>595</v>
      </c>
      <c r="C201" t="s">
        <v>596</v>
      </c>
      <c r="D201" t="s">
        <v>1316</v>
      </c>
      <c r="E201">
        <v>41</v>
      </c>
      <c r="F201" t="str">
        <f t="shared" si="9"/>
        <v>adult</v>
      </c>
      <c r="G201" t="s">
        <v>436</v>
      </c>
      <c r="H201" t="str">
        <f t="shared" si="10"/>
        <v>Sep</v>
      </c>
      <c r="I201" t="s">
        <v>26</v>
      </c>
      <c r="J201" t="s">
        <v>37</v>
      </c>
      <c r="K201" t="s">
        <v>62</v>
      </c>
      <c r="L201" t="s">
        <v>32</v>
      </c>
      <c r="M201">
        <v>1</v>
      </c>
      <c r="N201" t="str">
        <f t="shared" si="11"/>
        <v>low</v>
      </c>
      <c r="O201">
        <v>1733</v>
      </c>
      <c r="P201" t="s">
        <v>79</v>
      </c>
      <c r="Q201" t="s">
        <v>80</v>
      </c>
    </row>
    <row r="202" spans="1:17" x14ac:dyDescent="0.35">
      <c r="A202">
        <v>201</v>
      </c>
      <c r="B202" t="s">
        <v>597</v>
      </c>
      <c r="C202" t="s">
        <v>598</v>
      </c>
      <c r="D202" t="s">
        <v>1316</v>
      </c>
      <c r="E202">
        <v>27</v>
      </c>
      <c r="F202" t="str">
        <f t="shared" si="9"/>
        <v>adult</v>
      </c>
      <c r="G202" t="s">
        <v>599</v>
      </c>
      <c r="H202" t="str">
        <f t="shared" si="10"/>
        <v>Feb</v>
      </c>
      <c r="I202" t="s">
        <v>31</v>
      </c>
      <c r="J202" t="s">
        <v>37</v>
      </c>
      <c r="K202" t="s">
        <v>49</v>
      </c>
      <c r="L202" t="s">
        <v>20</v>
      </c>
      <c r="M202">
        <v>1</v>
      </c>
      <c r="N202" t="str">
        <f t="shared" si="11"/>
        <v>low</v>
      </c>
      <c r="O202">
        <v>2624</v>
      </c>
      <c r="P202" t="s">
        <v>99</v>
      </c>
      <c r="Q202" t="s">
        <v>100</v>
      </c>
    </row>
    <row r="203" spans="1:17" x14ac:dyDescent="0.35">
      <c r="A203">
        <v>202</v>
      </c>
      <c r="B203" t="s">
        <v>600</v>
      </c>
      <c r="C203" t="s">
        <v>601</v>
      </c>
      <c r="D203" t="s">
        <v>1316</v>
      </c>
      <c r="E203">
        <v>35</v>
      </c>
      <c r="F203" t="str">
        <f t="shared" si="9"/>
        <v>adult</v>
      </c>
      <c r="G203" t="s">
        <v>602</v>
      </c>
      <c r="H203" t="str">
        <f t="shared" si="10"/>
        <v>Jun</v>
      </c>
      <c r="I203" t="s">
        <v>31</v>
      </c>
      <c r="J203" t="s">
        <v>18</v>
      </c>
      <c r="K203" t="s">
        <v>19</v>
      </c>
      <c r="L203" t="s">
        <v>32</v>
      </c>
      <c r="M203">
        <v>3</v>
      </c>
      <c r="N203" t="str">
        <f t="shared" si="11"/>
        <v>high</v>
      </c>
      <c r="O203">
        <v>6669</v>
      </c>
      <c r="P203" t="s">
        <v>79</v>
      </c>
      <c r="Q203" t="s">
        <v>80</v>
      </c>
    </row>
    <row r="204" spans="1:17" x14ac:dyDescent="0.35">
      <c r="A204">
        <v>203</v>
      </c>
      <c r="B204" t="s">
        <v>603</v>
      </c>
      <c r="C204" t="s">
        <v>604</v>
      </c>
      <c r="D204" t="s">
        <v>1315</v>
      </c>
      <c r="E204">
        <v>39</v>
      </c>
      <c r="F204" t="str">
        <f t="shared" si="9"/>
        <v>adult</v>
      </c>
      <c r="G204" t="s">
        <v>605</v>
      </c>
      <c r="H204" t="str">
        <f t="shared" si="10"/>
        <v>Jul</v>
      </c>
      <c r="I204" t="s">
        <v>17</v>
      </c>
      <c r="J204" t="s">
        <v>18</v>
      </c>
      <c r="K204" t="s">
        <v>19</v>
      </c>
      <c r="L204" t="s">
        <v>32</v>
      </c>
      <c r="M204">
        <v>4</v>
      </c>
      <c r="N204" t="str">
        <f t="shared" si="11"/>
        <v>high</v>
      </c>
      <c r="O204">
        <v>4468</v>
      </c>
      <c r="P204" t="s">
        <v>44</v>
      </c>
      <c r="Q204" t="s">
        <v>45</v>
      </c>
    </row>
    <row r="205" spans="1:17" x14ac:dyDescent="0.35">
      <c r="A205">
        <v>204</v>
      </c>
      <c r="B205" t="s">
        <v>606</v>
      </c>
      <c r="C205" t="s">
        <v>607</v>
      </c>
      <c r="D205" t="s">
        <v>1315</v>
      </c>
      <c r="E205">
        <v>29</v>
      </c>
      <c r="F205" t="str">
        <f t="shared" si="9"/>
        <v>adult</v>
      </c>
      <c r="G205" t="s">
        <v>608</v>
      </c>
      <c r="H205" t="str">
        <f t="shared" si="10"/>
        <v>Sep</v>
      </c>
      <c r="I205" t="s">
        <v>26</v>
      </c>
      <c r="J205" t="s">
        <v>56</v>
      </c>
      <c r="K205" t="s">
        <v>38</v>
      </c>
      <c r="L205" t="s">
        <v>39</v>
      </c>
      <c r="M205">
        <v>2</v>
      </c>
      <c r="N205" t="str">
        <f t="shared" si="11"/>
        <v>low</v>
      </c>
      <c r="O205">
        <v>1170</v>
      </c>
      <c r="P205" t="s">
        <v>33</v>
      </c>
      <c r="Q205" t="s">
        <v>33</v>
      </c>
    </row>
    <row r="206" spans="1:17" x14ac:dyDescent="0.35">
      <c r="A206">
        <v>205</v>
      </c>
      <c r="B206" t="s">
        <v>609</v>
      </c>
      <c r="C206" t="s">
        <v>610</v>
      </c>
      <c r="D206" t="s">
        <v>1316</v>
      </c>
      <c r="E206">
        <v>21</v>
      </c>
      <c r="F206" t="str">
        <f t="shared" si="9"/>
        <v>teen</v>
      </c>
      <c r="G206" t="s">
        <v>112</v>
      </c>
      <c r="H206" t="str">
        <f t="shared" si="10"/>
        <v>Jul</v>
      </c>
      <c r="I206" t="s">
        <v>31</v>
      </c>
      <c r="J206" t="s">
        <v>18</v>
      </c>
      <c r="K206" t="s">
        <v>49</v>
      </c>
      <c r="L206" t="s">
        <v>66</v>
      </c>
      <c r="M206">
        <v>4</v>
      </c>
      <c r="N206" t="str">
        <f t="shared" si="11"/>
        <v>high</v>
      </c>
      <c r="O206">
        <v>4356</v>
      </c>
      <c r="P206" t="s">
        <v>27</v>
      </c>
      <c r="Q206" t="s">
        <v>22</v>
      </c>
    </row>
    <row r="207" spans="1:17" x14ac:dyDescent="0.35">
      <c r="A207">
        <v>206</v>
      </c>
      <c r="B207" t="s">
        <v>611</v>
      </c>
      <c r="C207" t="s">
        <v>612</v>
      </c>
      <c r="D207" t="s">
        <v>1315</v>
      </c>
      <c r="E207">
        <v>24</v>
      </c>
      <c r="F207" t="str">
        <f t="shared" si="9"/>
        <v>teen</v>
      </c>
      <c r="G207" t="s">
        <v>328</v>
      </c>
      <c r="H207" t="str">
        <f t="shared" si="10"/>
        <v>Sep</v>
      </c>
      <c r="I207" t="s">
        <v>31</v>
      </c>
      <c r="J207" t="s">
        <v>18</v>
      </c>
      <c r="K207" t="s">
        <v>38</v>
      </c>
      <c r="L207" t="s">
        <v>66</v>
      </c>
      <c r="M207">
        <v>1</v>
      </c>
      <c r="N207" t="str">
        <f t="shared" si="11"/>
        <v>low</v>
      </c>
      <c r="O207">
        <v>2274</v>
      </c>
      <c r="P207" t="s">
        <v>33</v>
      </c>
      <c r="Q207" t="s">
        <v>33</v>
      </c>
    </row>
    <row r="208" spans="1:17" x14ac:dyDescent="0.35">
      <c r="A208">
        <v>207</v>
      </c>
      <c r="B208" t="s">
        <v>613</v>
      </c>
      <c r="C208" t="s">
        <v>614</v>
      </c>
      <c r="D208" t="s">
        <v>1315</v>
      </c>
      <c r="E208">
        <v>28</v>
      </c>
      <c r="F208" t="str">
        <f t="shared" si="9"/>
        <v>adult</v>
      </c>
      <c r="G208" t="s">
        <v>615</v>
      </c>
      <c r="H208" t="str">
        <f t="shared" si="10"/>
        <v>Nov</v>
      </c>
      <c r="I208" t="s">
        <v>17</v>
      </c>
      <c r="J208" t="s">
        <v>18</v>
      </c>
      <c r="K208" t="s">
        <v>19</v>
      </c>
      <c r="L208" t="s">
        <v>66</v>
      </c>
      <c r="M208">
        <v>5</v>
      </c>
      <c r="N208" t="str">
        <f t="shared" si="11"/>
        <v>high</v>
      </c>
      <c r="O208">
        <v>10685</v>
      </c>
      <c r="P208" t="s">
        <v>40</v>
      </c>
      <c r="Q208" t="s">
        <v>22</v>
      </c>
    </row>
    <row r="209" spans="1:17" x14ac:dyDescent="0.35">
      <c r="A209">
        <v>208</v>
      </c>
      <c r="B209" t="s">
        <v>616</v>
      </c>
      <c r="C209" t="s">
        <v>617</v>
      </c>
      <c r="D209" t="s">
        <v>1315</v>
      </c>
      <c r="E209">
        <v>45</v>
      </c>
      <c r="F209" t="str">
        <f t="shared" si="9"/>
        <v>adult</v>
      </c>
      <c r="G209" t="s">
        <v>441</v>
      </c>
      <c r="H209" t="str">
        <f t="shared" si="10"/>
        <v>Sep</v>
      </c>
      <c r="I209" t="s">
        <v>31</v>
      </c>
      <c r="J209" t="s">
        <v>37</v>
      </c>
      <c r="K209" t="s">
        <v>49</v>
      </c>
      <c r="L209" t="s">
        <v>32</v>
      </c>
      <c r="M209">
        <v>1</v>
      </c>
      <c r="N209" t="str">
        <f t="shared" si="11"/>
        <v>low</v>
      </c>
      <c r="O209">
        <v>1785</v>
      </c>
      <c r="P209" t="s">
        <v>57</v>
      </c>
      <c r="Q209" t="s">
        <v>58</v>
      </c>
    </row>
    <row r="210" spans="1:17" x14ac:dyDescent="0.35">
      <c r="A210">
        <v>209</v>
      </c>
      <c r="B210" t="s">
        <v>618</v>
      </c>
      <c r="C210" t="s">
        <v>619</v>
      </c>
      <c r="D210" t="s">
        <v>1315</v>
      </c>
      <c r="E210">
        <v>29</v>
      </c>
      <c r="F210" t="str">
        <f t="shared" si="9"/>
        <v>adult</v>
      </c>
      <c r="G210" t="s">
        <v>16</v>
      </c>
      <c r="H210" t="str">
        <f t="shared" si="10"/>
        <v>Apr</v>
      </c>
      <c r="I210" t="s">
        <v>26</v>
      </c>
      <c r="J210" t="s">
        <v>18</v>
      </c>
      <c r="K210" t="s">
        <v>19</v>
      </c>
      <c r="L210" t="s">
        <v>39</v>
      </c>
      <c r="M210">
        <v>2</v>
      </c>
      <c r="N210" t="str">
        <f t="shared" si="11"/>
        <v>high</v>
      </c>
      <c r="O210">
        <v>5790</v>
      </c>
      <c r="P210" t="s">
        <v>33</v>
      </c>
      <c r="Q210" t="s">
        <v>33</v>
      </c>
    </row>
    <row r="211" spans="1:17" x14ac:dyDescent="0.35">
      <c r="A211">
        <v>210</v>
      </c>
      <c r="B211" t="s">
        <v>620</v>
      </c>
      <c r="C211" t="s">
        <v>621</v>
      </c>
      <c r="D211" t="s">
        <v>1315</v>
      </c>
      <c r="E211">
        <v>45</v>
      </c>
      <c r="F211" t="str">
        <f t="shared" si="9"/>
        <v>adult</v>
      </c>
      <c r="G211" t="s">
        <v>622</v>
      </c>
      <c r="H211" t="str">
        <f t="shared" si="10"/>
        <v>Jun</v>
      </c>
      <c r="I211" t="s">
        <v>17</v>
      </c>
      <c r="J211" t="s">
        <v>56</v>
      </c>
      <c r="K211" t="s">
        <v>49</v>
      </c>
      <c r="L211" t="s">
        <v>20</v>
      </c>
      <c r="M211">
        <v>3</v>
      </c>
      <c r="N211" t="str">
        <f t="shared" si="11"/>
        <v>low</v>
      </c>
      <c r="O211">
        <v>1524</v>
      </c>
      <c r="P211" t="s">
        <v>33</v>
      </c>
      <c r="Q211" t="s">
        <v>33</v>
      </c>
    </row>
    <row r="212" spans="1:17" x14ac:dyDescent="0.35">
      <c r="A212">
        <v>211</v>
      </c>
      <c r="B212" t="s">
        <v>623</v>
      </c>
      <c r="C212" t="s">
        <v>624</v>
      </c>
      <c r="D212" t="s">
        <v>1315</v>
      </c>
      <c r="E212">
        <v>33</v>
      </c>
      <c r="F212" t="str">
        <f t="shared" si="9"/>
        <v>adult</v>
      </c>
      <c r="G212" t="s">
        <v>625</v>
      </c>
      <c r="H212" t="str">
        <f t="shared" si="10"/>
        <v>Aug</v>
      </c>
      <c r="I212" t="s">
        <v>26</v>
      </c>
      <c r="J212" t="s">
        <v>56</v>
      </c>
      <c r="K212" t="s">
        <v>62</v>
      </c>
      <c r="L212" t="s">
        <v>39</v>
      </c>
      <c r="M212">
        <v>3</v>
      </c>
      <c r="N212" t="str">
        <f t="shared" si="11"/>
        <v>high</v>
      </c>
      <c r="O212">
        <v>5550</v>
      </c>
      <c r="P212" t="s">
        <v>99</v>
      </c>
      <c r="Q212" t="s">
        <v>100</v>
      </c>
    </row>
    <row r="213" spans="1:17" x14ac:dyDescent="0.35">
      <c r="A213">
        <v>212</v>
      </c>
      <c r="B213" t="s">
        <v>626</v>
      </c>
      <c r="C213" t="s">
        <v>627</v>
      </c>
      <c r="D213" t="s">
        <v>1316</v>
      </c>
      <c r="E213">
        <v>24</v>
      </c>
      <c r="F213" t="str">
        <f t="shared" si="9"/>
        <v>teen</v>
      </c>
      <c r="G213" t="s">
        <v>628</v>
      </c>
      <c r="H213" t="str">
        <f t="shared" si="10"/>
        <v>Jan</v>
      </c>
      <c r="I213" t="s">
        <v>17</v>
      </c>
      <c r="J213" t="s">
        <v>37</v>
      </c>
      <c r="K213" t="s">
        <v>62</v>
      </c>
      <c r="L213" t="s">
        <v>20</v>
      </c>
      <c r="M213">
        <v>2</v>
      </c>
      <c r="N213" t="str">
        <f t="shared" si="11"/>
        <v>high</v>
      </c>
      <c r="O213">
        <v>4444</v>
      </c>
      <c r="P213" t="s">
        <v>99</v>
      </c>
      <c r="Q213" t="s">
        <v>100</v>
      </c>
    </row>
    <row r="214" spans="1:17" x14ac:dyDescent="0.35">
      <c r="A214">
        <v>213</v>
      </c>
      <c r="B214" t="s">
        <v>629</v>
      </c>
      <c r="C214" t="s">
        <v>630</v>
      </c>
      <c r="D214" t="s">
        <v>1315</v>
      </c>
      <c r="E214">
        <v>48</v>
      </c>
      <c r="F214" t="str">
        <f t="shared" si="9"/>
        <v>senior</v>
      </c>
      <c r="G214" t="s">
        <v>631</v>
      </c>
      <c r="H214" t="str">
        <f t="shared" si="10"/>
        <v>Apr</v>
      </c>
      <c r="I214" t="s">
        <v>17</v>
      </c>
      <c r="J214" t="s">
        <v>37</v>
      </c>
      <c r="K214" t="s">
        <v>49</v>
      </c>
      <c r="L214" t="s">
        <v>39</v>
      </c>
      <c r="M214">
        <v>1</v>
      </c>
      <c r="N214" t="str">
        <f t="shared" si="11"/>
        <v>low</v>
      </c>
      <c r="O214">
        <v>2005</v>
      </c>
      <c r="P214" t="s">
        <v>40</v>
      </c>
      <c r="Q214" t="s">
        <v>22</v>
      </c>
    </row>
    <row r="215" spans="1:17" x14ac:dyDescent="0.35">
      <c r="A215">
        <v>214</v>
      </c>
      <c r="B215" t="s">
        <v>632</v>
      </c>
      <c r="C215" t="s">
        <v>633</v>
      </c>
      <c r="D215" t="s">
        <v>1316</v>
      </c>
      <c r="E215">
        <v>22</v>
      </c>
      <c r="F215" t="str">
        <f t="shared" si="9"/>
        <v>teen</v>
      </c>
      <c r="G215" t="s">
        <v>634</v>
      </c>
      <c r="H215" t="str">
        <f t="shared" si="10"/>
        <v>Nov</v>
      </c>
      <c r="I215" t="s">
        <v>17</v>
      </c>
      <c r="J215" t="s">
        <v>56</v>
      </c>
      <c r="K215" t="s">
        <v>19</v>
      </c>
      <c r="L215" t="s">
        <v>66</v>
      </c>
      <c r="M215">
        <v>5</v>
      </c>
      <c r="N215" t="str">
        <f t="shared" si="11"/>
        <v>high</v>
      </c>
      <c r="O215">
        <v>11710</v>
      </c>
      <c r="P215" t="s">
        <v>21</v>
      </c>
      <c r="Q215" t="s">
        <v>22</v>
      </c>
    </row>
    <row r="216" spans="1:17" x14ac:dyDescent="0.35">
      <c r="A216">
        <v>215</v>
      </c>
      <c r="B216" t="s">
        <v>635</v>
      </c>
      <c r="C216" t="s">
        <v>636</v>
      </c>
      <c r="D216" t="s">
        <v>1315</v>
      </c>
      <c r="E216">
        <v>38</v>
      </c>
      <c r="F216" t="str">
        <f t="shared" si="9"/>
        <v>adult</v>
      </c>
      <c r="G216" t="s">
        <v>103</v>
      </c>
      <c r="H216" t="str">
        <f t="shared" si="10"/>
        <v>Oct</v>
      </c>
      <c r="I216" t="s">
        <v>31</v>
      </c>
      <c r="J216" t="s">
        <v>18</v>
      </c>
      <c r="K216" t="s">
        <v>49</v>
      </c>
      <c r="L216" t="s">
        <v>32</v>
      </c>
      <c r="M216">
        <v>1</v>
      </c>
      <c r="N216" t="str">
        <f t="shared" si="11"/>
        <v>low</v>
      </c>
      <c r="O216">
        <v>1524</v>
      </c>
      <c r="P216" t="s">
        <v>44</v>
      </c>
      <c r="Q216" t="s">
        <v>45</v>
      </c>
    </row>
    <row r="217" spans="1:17" x14ac:dyDescent="0.35">
      <c r="A217">
        <v>216</v>
      </c>
      <c r="B217" t="s">
        <v>637</v>
      </c>
      <c r="C217" t="s">
        <v>638</v>
      </c>
      <c r="D217" t="s">
        <v>1316</v>
      </c>
      <c r="E217">
        <v>34</v>
      </c>
      <c r="F217" t="str">
        <f t="shared" si="9"/>
        <v>adult</v>
      </c>
      <c r="G217" t="s">
        <v>533</v>
      </c>
      <c r="H217" t="str">
        <f t="shared" si="10"/>
        <v>Aug</v>
      </c>
      <c r="I217" t="s">
        <v>17</v>
      </c>
      <c r="J217" t="s">
        <v>37</v>
      </c>
      <c r="K217" t="s">
        <v>38</v>
      </c>
      <c r="L217" t="s">
        <v>39</v>
      </c>
      <c r="M217">
        <v>3</v>
      </c>
      <c r="N217" t="str">
        <f t="shared" si="11"/>
        <v>low</v>
      </c>
      <c r="O217">
        <v>1509</v>
      </c>
      <c r="P217" t="s">
        <v>57</v>
      </c>
      <c r="Q217" t="s">
        <v>58</v>
      </c>
    </row>
    <row r="218" spans="1:17" x14ac:dyDescent="0.35">
      <c r="A218">
        <v>217</v>
      </c>
      <c r="B218" t="s">
        <v>639</v>
      </c>
      <c r="C218" t="s">
        <v>640</v>
      </c>
      <c r="D218" t="s">
        <v>1316</v>
      </c>
      <c r="E218">
        <v>23</v>
      </c>
      <c r="F218" t="str">
        <f t="shared" si="9"/>
        <v>teen</v>
      </c>
      <c r="G218" t="s">
        <v>316</v>
      </c>
      <c r="H218" t="str">
        <f t="shared" si="10"/>
        <v>Apr</v>
      </c>
      <c r="I218" t="s">
        <v>17</v>
      </c>
      <c r="J218" t="s">
        <v>18</v>
      </c>
      <c r="K218" t="s">
        <v>49</v>
      </c>
      <c r="L218" t="s">
        <v>66</v>
      </c>
      <c r="M218">
        <v>1</v>
      </c>
      <c r="N218" t="str">
        <f t="shared" si="11"/>
        <v>low</v>
      </c>
      <c r="O218">
        <v>1212</v>
      </c>
      <c r="P218" t="s">
        <v>21</v>
      </c>
      <c r="Q218" t="s">
        <v>22</v>
      </c>
    </row>
    <row r="219" spans="1:17" x14ac:dyDescent="0.35">
      <c r="A219">
        <v>218</v>
      </c>
      <c r="B219" t="s">
        <v>641</v>
      </c>
      <c r="C219" t="s">
        <v>642</v>
      </c>
      <c r="D219" t="s">
        <v>1315</v>
      </c>
      <c r="E219">
        <v>42</v>
      </c>
      <c r="F219" t="str">
        <f t="shared" si="9"/>
        <v>adult</v>
      </c>
      <c r="G219" t="s">
        <v>628</v>
      </c>
      <c r="H219" t="str">
        <f t="shared" si="10"/>
        <v>Jan</v>
      </c>
      <c r="I219" t="s">
        <v>31</v>
      </c>
      <c r="J219" t="s">
        <v>37</v>
      </c>
      <c r="K219" t="s">
        <v>19</v>
      </c>
      <c r="L219" t="s">
        <v>20</v>
      </c>
      <c r="M219">
        <v>5</v>
      </c>
      <c r="N219" t="str">
        <f t="shared" si="11"/>
        <v>high</v>
      </c>
      <c r="O219">
        <v>4810</v>
      </c>
      <c r="P219" t="s">
        <v>40</v>
      </c>
      <c r="Q219" t="s">
        <v>22</v>
      </c>
    </row>
    <row r="220" spans="1:17" x14ac:dyDescent="0.35">
      <c r="A220">
        <v>219</v>
      </c>
      <c r="B220" t="s">
        <v>643</v>
      </c>
      <c r="C220" t="s">
        <v>644</v>
      </c>
      <c r="D220" t="s">
        <v>1315</v>
      </c>
      <c r="E220">
        <v>37</v>
      </c>
      <c r="F220" t="str">
        <f t="shared" si="9"/>
        <v>adult</v>
      </c>
      <c r="G220" t="s">
        <v>78</v>
      </c>
      <c r="H220" t="str">
        <f t="shared" si="10"/>
        <v>Aug</v>
      </c>
      <c r="I220" t="s">
        <v>17</v>
      </c>
      <c r="J220" t="s">
        <v>37</v>
      </c>
      <c r="K220" t="s">
        <v>49</v>
      </c>
      <c r="L220" t="s">
        <v>39</v>
      </c>
      <c r="M220">
        <v>5</v>
      </c>
      <c r="N220" t="str">
        <f t="shared" si="11"/>
        <v>high</v>
      </c>
      <c r="O220">
        <v>12020</v>
      </c>
      <c r="P220" t="s">
        <v>21</v>
      </c>
      <c r="Q220" t="s">
        <v>22</v>
      </c>
    </row>
    <row r="221" spans="1:17" x14ac:dyDescent="0.35">
      <c r="A221">
        <v>220</v>
      </c>
      <c r="B221" t="s">
        <v>645</v>
      </c>
      <c r="C221" t="s">
        <v>646</v>
      </c>
      <c r="D221" t="s">
        <v>1316</v>
      </c>
      <c r="E221">
        <v>54</v>
      </c>
      <c r="F221" t="str">
        <f t="shared" si="9"/>
        <v>senior</v>
      </c>
      <c r="G221" t="s">
        <v>582</v>
      </c>
      <c r="H221" t="str">
        <f t="shared" si="10"/>
        <v>May</v>
      </c>
      <c r="I221" t="s">
        <v>17</v>
      </c>
      <c r="J221" t="s">
        <v>37</v>
      </c>
      <c r="K221" t="s">
        <v>62</v>
      </c>
      <c r="L221" t="s">
        <v>66</v>
      </c>
      <c r="M221">
        <v>3</v>
      </c>
      <c r="N221" t="str">
        <f t="shared" si="11"/>
        <v>high</v>
      </c>
      <c r="O221">
        <v>3228</v>
      </c>
      <c r="P221" t="s">
        <v>44</v>
      </c>
      <c r="Q221" t="s">
        <v>45</v>
      </c>
    </row>
    <row r="222" spans="1:17" x14ac:dyDescent="0.35">
      <c r="A222">
        <v>221</v>
      </c>
      <c r="B222" t="s">
        <v>647</v>
      </c>
      <c r="C222" t="s">
        <v>648</v>
      </c>
      <c r="D222" t="s">
        <v>1315</v>
      </c>
      <c r="E222">
        <v>20</v>
      </c>
      <c r="F222" t="str">
        <f t="shared" si="9"/>
        <v>teen</v>
      </c>
      <c r="G222" t="s">
        <v>485</v>
      </c>
      <c r="H222" t="str">
        <f t="shared" si="10"/>
        <v>Apr</v>
      </c>
      <c r="I222" t="s">
        <v>31</v>
      </c>
      <c r="J222" t="s">
        <v>56</v>
      </c>
      <c r="K222" t="s">
        <v>19</v>
      </c>
      <c r="L222" t="s">
        <v>20</v>
      </c>
      <c r="M222">
        <v>1</v>
      </c>
      <c r="N222" t="str">
        <f t="shared" si="11"/>
        <v>low</v>
      </c>
      <c r="O222">
        <v>2998</v>
      </c>
      <c r="P222" t="s">
        <v>99</v>
      </c>
      <c r="Q222" t="s">
        <v>100</v>
      </c>
    </row>
    <row r="223" spans="1:17" x14ac:dyDescent="0.35">
      <c r="A223">
        <v>222</v>
      </c>
      <c r="B223" t="s">
        <v>649</v>
      </c>
      <c r="C223" t="s">
        <v>650</v>
      </c>
      <c r="D223" t="s">
        <v>1315</v>
      </c>
      <c r="E223">
        <v>37</v>
      </c>
      <c r="F223" t="str">
        <f t="shared" si="9"/>
        <v>adult</v>
      </c>
      <c r="G223" t="s">
        <v>493</v>
      </c>
      <c r="H223" t="str">
        <f t="shared" si="10"/>
        <v>Apr</v>
      </c>
      <c r="I223" t="s">
        <v>26</v>
      </c>
      <c r="J223" t="s">
        <v>37</v>
      </c>
      <c r="K223" t="s">
        <v>38</v>
      </c>
      <c r="L223" t="s">
        <v>32</v>
      </c>
      <c r="M223">
        <v>2</v>
      </c>
      <c r="N223" t="str">
        <f t="shared" si="11"/>
        <v>low</v>
      </c>
      <c r="O223">
        <v>1948</v>
      </c>
      <c r="P223" t="s">
        <v>33</v>
      </c>
      <c r="Q223" t="s">
        <v>33</v>
      </c>
    </row>
    <row r="224" spans="1:17" x14ac:dyDescent="0.35">
      <c r="A224">
        <v>223</v>
      </c>
      <c r="B224" t="s">
        <v>651</v>
      </c>
      <c r="C224" t="s">
        <v>652</v>
      </c>
      <c r="D224" t="s">
        <v>1315</v>
      </c>
      <c r="E224">
        <v>27</v>
      </c>
      <c r="F224" t="str">
        <f t="shared" si="9"/>
        <v>adult</v>
      </c>
      <c r="G224" t="s">
        <v>653</v>
      </c>
      <c r="H224" t="str">
        <f t="shared" si="10"/>
        <v>Jun</v>
      </c>
      <c r="I224" t="s">
        <v>17</v>
      </c>
      <c r="J224" t="s">
        <v>18</v>
      </c>
      <c r="K224" t="s">
        <v>38</v>
      </c>
      <c r="L224" t="s">
        <v>66</v>
      </c>
      <c r="M224">
        <v>2</v>
      </c>
      <c r="N224" t="str">
        <f t="shared" si="11"/>
        <v>low</v>
      </c>
      <c r="O224">
        <v>2792</v>
      </c>
      <c r="P224" t="s">
        <v>99</v>
      </c>
      <c r="Q224" t="s">
        <v>100</v>
      </c>
    </row>
    <row r="225" spans="1:17" x14ac:dyDescent="0.35">
      <c r="A225">
        <v>224</v>
      </c>
      <c r="B225" t="s">
        <v>654</v>
      </c>
      <c r="C225" t="s">
        <v>655</v>
      </c>
      <c r="D225" t="s">
        <v>1315</v>
      </c>
      <c r="E225">
        <v>22</v>
      </c>
      <c r="F225" t="str">
        <f t="shared" si="9"/>
        <v>teen</v>
      </c>
      <c r="G225" t="s">
        <v>656</v>
      </c>
      <c r="H225" t="str">
        <f t="shared" si="10"/>
        <v>Sep</v>
      </c>
      <c r="I225" t="s">
        <v>17</v>
      </c>
      <c r="J225" t="s">
        <v>37</v>
      </c>
      <c r="K225" t="s">
        <v>38</v>
      </c>
      <c r="L225" t="s">
        <v>39</v>
      </c>
      <c r="M225">
        <v>1</v>
      </c>
      <c r="N225" t="str">
        <f t="shared" si="11"/>
        <v>low</v>
      </c>
      <c r="O225">
        <v>1255</v>
      </c>
      <c r="P225" t="s">
        <v>57</v>
      </c>
      <c r="Q225" t="s">
        <v>58</v>
      </c>
    </row>
    <row r="226" spans="1:17" x14ac:dyDescent="0.35">
      <c r="A226">
        <v>225</v>
      </c>
      <c r="B226" t="s">
        <v>657</v>
      </c>
      <c r="C226" t="s">
        <v>658</v>
      </c>
      <c r="D226" t="s">
        <v>1316</v>
      </c>
      <c r="E226">
        <v>54</v>
      </c>
      <c r="F226" t="str">
        <f t="shared" si="9"/>
        <v>senior</v>
      </c>
      <c r="G226" t="s">
        <v>659</v>
      </c>
      <c r="H226" t="str">
        <f t="shared" si="10"/>
        <v>Nov</v>
      </c>
      <c r="I226" t="s">
        <v>26</v>
      </c>
      <c r="J226" t="s">
        <v>56</v>
      </c>
      <c r="K226" t="s">
        <v>19</v>
      </c>
      <c r="L226" t="s">
        <v>39</v>
      </c>
      <c r="M226">
        <v>4</v>
      </c>
      <c r="N226" t="str">
        <f t="shared" si="11"/>
        <v>high</v>
      </c>
      <c r="O226">
        <v>7372</v>
      </c>
      <c r="P226" t="s">
        <v>27</v>
      </c>
      <c r="Q226" t="s">
        <v>22</v>
      </c>
    </row>
    <row r="227" spans="1:17" x14ac:dyDescent="0.35">
      <c r="A227">
        <v>226</v>
      </c>
      <c r="B227" t="s">
        <v>660</v>
      </c>
      <c r="C227" t="s">
        <v>661</v>
      </c>
      <c r="D227" t="s">
        <v>1315</v>
      </c>
      <c r="E227">
        <v>57</v>
      </c>
      <c r="F227" t="str">
        <f t="shared" si="9"/>
        <v>senior</v>
      </c>
      <c r="G227" t="s">
        <v>662</v>
      </c>
      <c r="H227" t="str">
        <f t="shared" si="10"/>
        <v>May</v>
      </c>
      <c r="I227" t="s">
        <v>31</v>
      </c>
      <c r="J227" t="s">
        <v>37</v>
      </c>
      <c r="K227" t="s">
        <v>19</v>
      </c>
      <c r="L227" t="s">
        <v>20</v>
      </c>
      <c r="M227">
        <v>3</v>
      </c>
      <c r="N227" t="str">
        <f t="shared" si="11"/>
        <v>high</v>
      </c>
      <c r="O227">
        <v>6774</v>
      </c>
      <c r="P227" t="s">
        <v>99</v>
      </c>
      <c r="Q227" t="s">
        <v>100</v>
      </c>
    </row>
    <row r="228" spans="1:17" x14ac:dyDescent="0.35">
      <c r="A228">
        <v>227</v>
      </c>
      <c r="B228" t="s">
        <v>663</v>
      </c>
      <c r="C228" t="s">
        <v>664</v>
      </c>
      <c r="D228" t="s">
        <v>1315</v>
      </c>
      <c r="E228">
        <v>43</v>
      </c>
      <c r="F228" t="str">
        <f t="shared" si="9"/>
        <v>adult</v>
      </c>
      <c r="G228" t="s">
        <v>665</v>
      </c>
      <c r="H228" t="str">
        <f t="shared" si="10"/>
        <v>Oct</v>
      </c>
      <c r="I228" t="s">
        <v>31</v>
      </c>
      <c r="J228" t="s">
        <v>37</v>
      </c>
      <c r="K228" t="s">
        <v>38</v>
      </c>
      <c r="L228" t="s">
        <v>20</v>
      </c>
      <c r="M228">
        <v>5</v>
      </c>
      <c r="N228" t="str">
        <f t="shared" si="11"/>
        <v>high</v>
      </c>
      <c r="O228">
        <v>5880</v>
      </c>
      <c r="P228" t="s">
        <v>79</v>
      </c>
      <c r="Q228" t="s">
        <v>80</v>
      </c>
    </row>
    <row r="229" spans="1:17" x14ac:dyDescent="0.35">
      <c r="A229">
        <v>228</v>
      </c>
      <c r="B229" t="s">
        <v>666</v>
      </c>
      <c r="C229" t="s">
        <v>667</v>
      </c>
      <c r="D229" t="s">
        <v>1315</v>
      </c>
      <c r="E229">
        <v>25</v>
      </c>
      <c r="F229" t="str">
        <f t="shared" si="9"/>
        <v>adult</v>
      </c>
      <c r="G229" t="s">
        <v>668</v>
      </c>
      <c r="H229" t="str">
        <f t="shared" si="10"/>
        <v>Jan</v>
      </c>
      <c r="I229" t="s">
        <v>17</v>
      </c>
      <c r="J229" t="s">
        <v>56</v>
      </c>
      <c r="K229" t="s">
        <v>38</v>
      </c>
      <c r="L229" t="s">
        <v>66</v>
      </c>
      <c r="M229">
        <v>4</v>
      </c>
      <c r="N229" t="str">
        <f t="shared" si="11"/>
        <v>high</v>
      </c>
      <c r="O229">
        <v>10076</v>
      </c>
      <c r="P229" t="s">
        <v>33</v>
      </c>
      <c r="Q229" t="s">
        <v>33</v>
      </c>
    </row>
    <row r="230" spans="1:17" x14ac:dyDescent="0.35">
      <c r="A230">
        <v>229</v>
      </c>
      <c r="B230" t="s">
        <v>669</v>
      </c>
      <c r="C230" t="s">
        <v>670</v>
      </c>
      <c r="D230" t="s">
        <v>1316</v>
      </c>
      <c r="E230">
        <v>52</v>
      </c>
      <c r="F230" t="str">
        <f t="shared" si="9"/>
        <v>senior</v>
      </c>
      <c r="G230" t="s">
        <v>444</v>
      </c>
      <c r="H230" t="str">
        <f t="shared" si="10"/>
        <v>Nov</v>
      </c>
      <c r="I230" t="s">
        <v>17</v>
      </c>
      <c r="J230" t="s">
        <v>18</v>
      </c>
      <c r="K230" t="s">
        <v>19</v>
      </c>
      <c r="L230" t="s">
        <v>39</v>
      </c>
      <c r="M230">
        <v>2</v>
      </c>
      <c r="N230" t="str">
        <f t="shared" si="11"/>
        <v>low</v>
      </c>
      <c r="O230">
        <v>2346</v>
      </c>
      <c r="P230" t="s">
        <v>27</v>
      </c>
      <c r="Q230" t="s">
        <v>22</v>
      </c>
    </row>
    <row r="231" spans="1:17" x14ac:dyDescent="0.35">
      <c r="A231">
        <v>230</v>
      </c>
      <c r="B231" t="s">
        <v>671</v>
      </c>
      <c r="C231" t="s">
        <v>672</v>
      </c>
      <c r="D231" t="s">
        <v>1316</v>
      </c>
      <c r="E231">
        <v>41</v>
      </c>
      <c r="F231" t="str">
        <f t="shared" si="9"/>
        <v>adult</v>
      </c>
      <c r="G231" t="s">
        <v>673</v>
      </c>
      <c r="H231" t="str">
        <f t="shared" si="10"/>
        <v>Jul</v>
      </c>
      <c r="I231" t="s">
        <v>17</v>
      </c>
      <c r="J231" t="s">
        <v>37</v>
      </c>
      <c r="K231" t="s">
        <v>19</v>
      </c>
      <c r="L231" t="s">
        <v>39</v>
      </c>
      <c r="M231">
        <v>1</v>
      </c>
      <c r="N231" t="str">
        <f t="shared" si="11"/>
        <v>low</v>
      </c>
      <c r="O231">
        <v>1452</v>
      </c>
      <c r="P231" t="s">
        <v>40</v>
      </c>
      <c r="Q231" t="s">
        <v>22</v>
      </c>
    </row>
    <row r="232" spans="1:17" x14ac:dyDescent="0.35">
      <c r="A232">
        <v>231</v>
      </c>
      <c r="B232" t="s">
        <v>674</v>
      </c>
      <c r="C232" t="s">
        <v>675</v>
      </c>
      <c r="D232" t="s">
        <v>1316</v>
      </c>
      <c r="E232">
        <v>45</v>
      </c>
      <c r="F232" t="str">
        <f t="shared" si="9"/>
        <v>adult</v>
      </c>
      <c r="G232" t="s">
        <v>676</v>
      </c>
      <c r="H232" t="str">
        <f t="shared" si="10"/>
        <v>Jun</v>
      </c>
      <c r="I232" t="s">
        <v>17</v>
      </c>
      <c r="J232" t="s">
        <v>18</v>
      </c>
      <c r="K232" t="s">
        <v>49</v>
      </c>
      <c r="L232" t="s">
        <v>20</v>
      </c>
      <c r="M232">
        <v>1</v>
      </c>
      <c r="N232" t="str">
        <f t="shared" si="11"/>
        <v>low</v>
      </c>
      <c r="O232">
        <v>2002</v>
      </c>
      <c r="P232" t="s">
        <v>44</v>
      </c>
      <c r="Q232" t="s">
        <v>45</v>
      </c>
    </row>
    <row r="233" spans="1:17" x14ac:dyDescent="0.35">
      <c r="A233">
        <v>232</v>
      </c>
      <c r="B233" t="s">
        <v>677</v>
      </c>
      <c r="C233" t="s">
        <v>678</v>
      </c>
      <c r="D233" t="s">
        <v>1316</v>
      </c>
      <c r="E233">
        <v>52</v>
      </c>
      <c r="F233" t="str">
        <f t="shared" si="9"/>
        <v>senior</v>
      </c>
      <c r="G233" t="s">
        <v>220</v>
      </c>
      <c r="H233" t="str">
        <f t="shared" si="10"/>
        <v>Feb</v>
      </c>
      <c r="I233" t="s">
        <v>31</v>
      </c>
      <c r="J233" t="s">
        <v>56</v>
      </c>
      <c r="K233" t="s">
        <v>38</v>
      </c>
      <c r="L233" t="s">
        <v>66</v>
      </c>
      <c r="M233">
        <v>4</v>
      </c>
      <c r="N233" t="str">
        <f t="shared" si="11"/>
        <v>high</v>
      </c>
      <c r="O233">
        <v>11332</v>
      </c>
      <c r="P233" t="s">
        <v>27</v>
      </c>
      <c r="Q233" t="s">
        <v>22</v>
      </c>
    </row>
    <row r="234" spans="1:17" x14ac:dyDescent="0.35">
      <c r="A234">
        <v>233</v>
      </c>
      <c r="B234" t="s">
        <v>679</v>
      </c>
      <c r="C234" t="s">
        <v>680</v>
      </c>
      <c r="D234" t="s">
        <v>1315</v>
      </c>
      <c r="E234">
        <v>45</v>
      </c>
      <c r="F234" t="str">
        <f t="shared" si="9"/>
        <v>adult</v>
      </c>
      <c r="G234" t="s">
        <v>681</v>
      </c>
      <c r="H234" t="str">
        <f t="shared" si="10"/>
        <v>Aug</v>
      </c>
      <c r="I234" t="s">
        <v>17</v>
      </c>
      <c r="J234" t="s">
        <v>37</v>
      </c>
      <c r="K234" t="s">
        <v>49</v>
      </c>
      <c r="L234" t="s">
        <v>66</v>
      </c>
      <c r="M234">
        <v>3</v>
      </c>
      <c r="N234" t="str">
        <f t="shared" si="11"/>
        <v>high</v>
      </c>
      <c r="O234">
        <v>6021</v>
      </c>
      <c r="P234" t="s">
        <v>27</v>
      </c>
      <c r="Q234" t="s">
        <v>22</v>
      </c>
    </row>
    <row r="235" spans="1:17" x14ac:dyDescent="0.35">
      <c r="A235">
        <v>234</v>
      </c>
      <c r="B235" t="s">
        <v>682</v>
      </c>
      <c r="C235" t="s">
        <v>683</v>
      </c>
      <c r="D235" t="s">
        <v>1315</v>
      </c>
      <c r="E235">
        <v>52</v>
      </c>
      <c r="F235" t="str">
        <f t="shared" si="9"/>
        <v>senior</v>
      </c>
      <c r="G235" t="s">
        <v>319</v>
      </c>
      <c r="H235" t="str">
        <f t="shared" si="10"/>
        <v>Jan</v>
      </c>
      <c r="I235" t="s">
        <v>17</v>
      </c>
      <c r="J235" t="s">
        <v>37</v>
      </c>
      <c r="K235" t="s">
        <v>62</v>
      </c>
      <c r="L235" t="s">
        <v>66</v>
      </c>
      <c r="M235">
        <v>3</v>
      </c>
      <c r="N235" t="str">
        <f t="shared" si="11"/>
        <v>high</v>
      </c>
      <c r="O235">
        <v>8034</v>
      </c>
      <c r="P235" t="s">
        <v>33</v>
      </c>
      <c r="Q235" t="s">
        <v>33</v>
      </c>
    </row>
    <row r="236" spans="1:17" x14ac:dyDescent="0.35">
      <c r="A236">
        <v>235</v>
      </c>
      <c r="B236" t="s">
        <v>684</v>
      </c>
      <c r="C236" t="s">
        <v>685</v>
      </c>
      <c r="D236" t="s">
        <v>1316</v>
      </c>
      <c r="E236">
        <v>40</v>
      </c>
      <c r="F236" t="str">
        <f t="shared" si="9"/>
        <v>adult</v>
      </c>
      <c r="G236" t="s">
        <v>686</v>
      </c>
      <c r="H236" t="str">
        <f t="shared" si="10"/>
        <v>Oct</v>
      </c>
      <c r="I236" t="s">
        <v>31</v>
      </c>
      <c r="J236" t="s">
        <v>56</v>
      </c>
      <c r="K236" t="s">
        <v>38</v>
      </c>
      <c r="L236" t="s">
        <v>66</v>
      </c>
      <c r="M236">
        <v>3</v>
      </c>
      <c r="N236" t="str">
        <f t="shared" si="11"/>
        <v>high</v>
      </c>
      <c r="O236">
        <v>6243</v>
      </c>
      <c r="P236" t="s">
        <v>21</v>
      </c>
      <c r="Q236" t="s">
        <v>22</v>
      </c>
    </row>
    <row r="237" spans="1:17" x14ac:dyDescent="0.35">
      <c r="A237">
        <v>236</v>
      </c>
      <c r="B237" t="s">
        <v>687</v>
      </c>
      <c r="C237" t="s">
        <v>688</v>
      </c>
      <c r="D237" t="s">
        <v>1315</v>
      </c>
      <c r="E237">
        <v>46</v>
      </c>
      <c r="F237" t="str">
        <f t="shared" si="9"/>
        <v>senior</v>
      </c>
      <c r="G237" t="s">
        <v>485</v>
      </c>
      <c r="H237" t="str">
        <f t="shared" si="10"/>
        <v>Apr</v>
      </c>
      <c r="I237" t="s">
        <v>17</v>
      </c>
      <c r="J237" t="s">
        <v>37</v>
      </c>
      <c r="K237" t="s">
        <v>19</v>
      </c>
      <c r="L237" t="s">
        <v>20</v>
      </c>
      <c r="M237">
        <v>4</v>
      </c>
      <c r="N237" t="str">
        <f t="shared" si="11"/>
        <v>high</v>
      </c>
      <c r="O237">
        <v>6344</v>
      </c>
      <c r="P237" t="s">
        <v>21</v>
      </c>
      <c r="Q237" t="s">
        <v>22</v>
      </c>
    </row>
    <row r="238" spans="1:17" x14ac:dyDescent="0.35">
      <c r="A238">
        <v>237</v>
      </c>
      <c r="B238" t="s">
        <v>689</v>
      </c>
      <c r="C238" t="s">
        <v>690</v>
      </c>
      <c r="D238" t="s">
        <v>1316</v>
      </c>
      <c r="E238">
        <v>50</v>
      </c>
      <c r="F238" t="str">
        <f t="shared" si="9"/>
        <v>senior</v>
      </c>
      <c r="G238" t="s">
        <v>691</v>
      </c>
      <c r="H238" t="str">
        <f t="shared" si="10"/>
        <v>Aug</v>
      </c>
      <c r="I238" t="s">
        <v>31</v>
      </c>
      <c r="J238" t="s">
        <v>56</v>
      </c>
      <c r="K238" t="s">
        <v>19</v>
      </c>
      <c r="L238" t="s">
        <v>39</v>
      </c>
      <c r="M238">
        <v>3</v>
      </c>
      <c r="N238" t="str">
        <f t="shared" si="11"/>
        <v>high</v>
      </c>
      <c r="O238">
        <v>6744</v>
      </c>
      <c r="P238" t="s">
        <v>27</v>
      </c>
      <c r="Q238" t="s">
        <v>22</v>
      </c>
    </row>
    <row r="239" spans="1:17" x14ac:dyDescent="0.35">
      <c r="A239">
        <v>238</v>
      </c>
      <c r="B239" t="s">
        <v>692</v>
      </c>
      <c r="C239" t="s">
        <v>693</v>
      </c>
      <c r="D239" t="s">
        <v>1316</v>
      </c>
      <c r="E239">
        <v>21</v>
      </c>
      <c r="F239" t="str">
        <f t="shared" si="9"/>
        <v>teen</v>
      </c>
      <c r="G239" t="s">
        <v>30</v>
      </c>
      <c r="H239" t="str">
        <f t="shared" si="10"/>
        <v>Feb</v>
      </c>
      <c r="I239" t="s">
        <v>26</v>
      </c>
      <c r="J239" t="s">
        <v>18</v>
      </c>
      <c r="K239" t="s">
        <v>49</v>
      </c>
      <c r="L239" t="s">
        <v>39</v>
      </c>
      <c r="M239">
        <v>3</v>
      </c>
      <c r="N239" t="str">
        <f t="shared" si="11"/>
        <v>high</v>
      </c>
      <c r="O239">
        <v>3423</v>
      </c>
      <c r="P239" t="s">
        <v>44</v>
      </c>
      <c r="Q239" t="s">
        <v>45</v>
      </c>
    </row>
    <row r="240" spans="1:17" x14ac:dyDescent="0.35">
      <c r="A240">
        <v>239</v>
      </c>
      <c r="B240" t="s">
        <v>694</v>
      </c>
      <c r="C240" t="s">
        <v>695</v>
      </c>
      <c r="D240" t="s">
        <v>1315</v>
      </c>
      <c r="E240">
        <v>54</v>
      </c>
      <c r="F240" t="str">
        <f t="shared" si="9"/>
        <v>senior</v>
      </c>
      <c r="G240" t="s">
        <v>696</v>
      </c>
      <c r="H240" t="str">
        <f t="shared" si="10"/>
        <v>Oct</v>
      </c>
      <c r="I240" t="s">
        <v>31</v>
      </c>
      <c r="J240" t="s">
        <v>18</v>
      </c>
      <c r="K240" t="s">
        <v>49</v>
      </c>
      <c r="L240" t="s">
        <v>20</v>
      </c>
      <c r="M240">
        <v>4</v>
      </c>
      <c r="N240" t="str">
        <f t="shared" si="11"/>
        <v>high</v>
      </c>
      <c r="O240">
        <v>8024</v>
      </c>
      <c r="P240" t="s">
        <v>27</v>
      </c>
      <c r="Q240" t="s">
        <v>22</v>
      </c>
    </row>
    <row r="241" spans="1:17" x14ac:dyDescent="0.35">
      <c r="A241">
        <v>240</v>
      </c>
      <c r="B241" t="s">
        <v>697</v>
      </c>
      <c r="C241" t="s">
        <v>698</v>
      </c>
      <c r="D241" t="s">
        <v>1315</v>
      </c>
      <c r="E241">
        <v>53</v>
      </c>
      <c r="F241" t="str">
        <f t="shared" si="9"/>
        <v>senior</v>
      </c>
      <c r="G241" t="s">
        <v>269</v>
      </c>
      <c r="H241" t="str">
        <f t="shared" si="10"/>
        <v>Nov</v>
      </c>
      <c r="I241" t="s">
        <v>17</v>
      </c>
      <c r="J241" t="s">
        <v>37</v>
      </c>
      <c r="K241" t="s">
        <v>49</v>
      </c>
      <c r="L241" t="s">
        <v>20</v>
      </c>
      <c r="M241">
        <v>2</v>
      </c>
      <c r="N241" t="str">
        <f t="shared" si="11"/>
        <v>low</v>
      </c>
      <c r="O241">
        <v>2054</v>
      </c>
      <c r="P241" t="s">
        <v>99</v>
      </c>
      <c r="Q241" t="s">
        <v>100</v>
      </c>
    </row>
    <row r="242" spans="1:17" x14ac:dyDescent="0.35">
      <c r="A242">
        <v>241</v>
      </c>
      <c r="B242" t="s">
        <v>699</v>
      </c>
      <c r="C242" t="s">
        <v>700</v>
      </c>
      <c r="D242" t="s">
        <v>1315</v>
      </c>
      <c r="E242">
        <v>30</v>
      </c>
      <c r="F242" t="str">
        <f t="shared" si="9"/>
        <v>adult</v>
      </c>
      <c r="G242" t="s">
        <v>701</v>
      </c>
      <c r="H242" t="str">
        <f t="shared" si="10"/>
        <v>Apr</v>
      </c>
      <c r="I242" t="s">
        <v>26</v>
      </c>
      <c r="J242" t="s">
        <v>18</v>
      </c>
      <c r="K242" t="s">
        <v>19</v>
      </c>
      <c r="L242" t="s">
        <v>32</v>
      </c>
      <c r="M242">
        <v>2</v>
      </c>
      <c r="N242" t="str">
        <f t="shared" si="11"/>
        <v>high</v>
      </c>
      <c r="O242">
        <v>3010</v>
      </c>
      <c r="P242" t="s">
        <v>99</v>
      </c>
      <c r="Q242" t="s">
        <v>100</v>
      </c>
    </row>
    <row r="243" spans="1:17" x14ac:dyDescent="0.35">
      <c r="A243">
        <v>242</v>
      </c>
      <c r="B243" t="s">
        <v>702</v>
      </c>
      <c r="C243" t="s">
        <v>703</v>
      </c>
      <c r="D243" t="s">
        <v>1316</v>
      </c>
      <c r="E243">
        <v>22</v>
      </c>
      <c r="F243" t="str">
        <f t="shared" si="9"/>
        <v>teen</v>
      </c>
      <c r="G243" t="s">
        <v>217</v>
      </c>
      <c r="H243" t="str">
        <f t="shared" si="10"/>
        <v>Feb</v>
      </c>
      <c r="I243" t="s">
        <v>17</v>
      </c>
      <c r="J243" t="s">
        <v>37</v>
      </c>
      <c r="K243" t="s">
        <v>62</v>
      </c>
      <c r="L243" t="s">
        <v>39</v>
      </c>
      <c r="M243">
        <v>1</v>
      </c>
      <c r="N243" t="str">
        <f t="shared" si="11"/>
        <v>low</v>
      </c>
      <c r="O243">
        <v>972</v>
      </c>
      <c r="P243" t="s">
        <v>33</v>
      </c>
      <c r="Q243" t="s">
        <v>33</v>
      </c>
    </row>
    <row r="244" spans="1:17" x14ac:dyDescent="0.35">
      <c r="A244">
        <v>243</v>
      </c>
      <c r="B244" t="s">
        <v>704</v>
      </c>
      <c r="C244" t="s">
        <v>705</v>
      </c>
      <c r="D244" t="s">
        <v>1315</v>
      </c>
      <c r="E244">
        <v>34</v>
      </c>
      <c r="F244" t="str">
        <f t="shared" si="9"/>
        <v>adult</v>
      </c>
      <c r="G244" t="s">
        <v>706</v>
      </c>
      <c r="H244" t="str">
        <f t="shared" si="10"/>
        <v>Aug</v>
      </c>
      <c r="I244" t="s">
        <v>31</v>
      </c>
      <c r="J244" t="s">
        <v>37</v>
      </c>
      <c r="K244" t="s">
        <v>38</v>
      </c>
      <c r="L244" t="s">
        <v>66</v>
      </c>
      <c r="M244">
        <v>4</v>
      </c>
      <c r="N244" t="str">
        <f t="shared" si="11"/>
        <v>high</v>
      </c>
      <c r="O244">
        <v>8704</v>
      </c>
      <c r="P244" t="s">
        <v>44</v>
      </c>
      <c r="Q244" t="s">
        <v>45</v>
      </c>
    </row>
    <row r="245" spans="1:17" x14ac:dyDescent="0.35">
      <c r="A245">
        <v>244</v>
      </c>
      <c r="B245" t="s">
        <v>707</v>
      </c>
      <c r="C245" t="s">
        <v>708</v>
      </c>
      <c r="D245" t="s">
        <v>1315</v>
      </c>
      <c r="E245">
        <v>23</v>
      </c>
      <c r="F245" t="str">
        <f t="shared" si="9"/>
        <v>teen</v>
      </c>
      <c r="G245" t="s">
        <v>515</v>
      </c>
      <c r="H245" t="str">
        <f t="shared" si="10"/>
        <v>Jan</v>
      </c>
      <c r="I245" t="s">
        <v>17</v>
      </c>
      <c r="J245" t="s">
        <v>18</v>
      </c>
      <c r="K245" t="s">
        <v>38</v>
      </c>
      <c r="L245" t="s">
        <v>20</v>
      </c>
      <c r="M245">
        <v>2</v>
      </c>
      <c r="N245" t="str">
        <f t="shared" si="11"/>
        <v>low</v>
      </c>
      <c r="O245">
        <v>1660</v>
      </c>
      <c r="P245" t="s">
        <v>27</v>
      </c>
      <c r="Q245" t="s">
        <v>22</v>
      </c>
    </row>
    <row r="246" spans="1:17" x14ac:dyDescent="0.35">
      <c r="A246">
        <v>245</v>
      </c>
      <c r="B246" t="s">
        <v>709</v>
      </c>
      <c r="C246" t="s">
        <v>710</v>
      </c>
      <c r="D246" t="s">
        <v>1315</v>
      </c>
      <c r="E246">
        <v>19</v>
      </c>
      <c r="F246" t="str">
        <f t="shared" si="9"/>
        <v>teen</v>
      </c>
      <c r="G246" t="s">
        <v>379</v>
      </c>
      <c r="H246" t="str">
        <f t="shared" si="10"/>
        <v>Mar</v>
      </c>
      <c r="I246" t="s">
        <v>17</v>
      </c>
      <c r="J246" t="s">
        <v>18</v>
      </c>
      <c r="K246" t="s">
        <v>38</v>
      </c>
      <c r="L246" t="s">
        <v>66</v>
      </c>
      <c r="M246">
        <v>3</v>
      </c>
      <c r="N246" t="str">
        <f t="shared" si="11"/>
        <v>high</v>
      </c>
      <c r="O246">
        <v>8967</v>
      </c>
      <c r="P246" t="s">
        <v>27</v>
      </c>
      <c r="Q246" t="s">
        <v>22</v>
      </c>
    </row>
    <row r="247" spans="1:17" x14ac:dyDescent="0.35">
      <c r="A247">
        <v>246</v>
      </c>
      <c r="B247" t="s">
        <v>711</v>
      </c>
      <c r="C247" t="s">
        <v>712</v>
      </c>
      <c r="D247" t="s">
        <v>1316</v>
      </c>
      <c r="E247">
        <v>30</v>
      </c>
      <c r="F247" t="str">
        <f t="shared" si="9"/>
        <v>adult</v>
      </c>
      <c r="G247" t="s">
        <v>713</v>
      </c>
      <c r="H247" t="str">
        <f t="shared" si="10"/>
        <v>Mar</v>
      </c>
      <c r="I247" t="s">
        <v>26</v>
      </c>
      <c r="J247" t="s">
        <v>56</v>
      </c>
      <c r="K247" t="s">
        <v>19</v>
      </c>
      <c r="L247" t="s">
        <v>20</v>
      </c>
      <c r="M247">
        <v>2</v>
      </c>
      <c r="N247" t="str">
        <f t="shared" si="11"/>
        <v>high</v>
      </c>
      <c r="O247">
        <v>4824</v>
      </c>
      <c r="P247" t="s">
        <v>57</v>
      </c>
      <c r="Q247" t="s">
        <v>58</v>
      </c>
    </row>
    <row r="248" spans="1:17" x14ac:dyDescent="0.35">
      <c r="A248">
        <v>247</v>
      </c>
      <c r="B248" t="s">
        <v>714</v>
      </c>
      <c r="C248" t="s">
        <v>715</v>
      </c>
      <c r="D248" t="s">
        <v>1316</v>
      </c>
      <c r="E248">
        <v>48</v>
      </c>
      <c r="F248" t="str">
        <f t="shared" si="9"/>
        <v>senior</v>
      </c>
      <c r="G248" t="s">
        <v>716</v>
      </c>
      <c r="H248" t="str">
        <f t="shared" si="10"/>
        <v>Jul</v>
      </c>
      <c r="I248" t="s">
        <v>17</v>
      </c>
      <c r="J248" t="s">
        <v>37</v>
      </c>
      <c r="K248" t="s">
        <v>62</v>
      </c>
      <c r="L248" t="s">
        <v>66</v>
      </c>
      <c r="M248">
        <v>2</v>
      </c>
      <c r="N248" t="str">
        <f t="shared" si="11"/>
        <v>high</v>
      </c>
      <c r="O248">
        <v>4526</v>
      </c>
      <c r="P248" t="s">
        <v>57</v>
      </c>
      <c r="Q248" t="s">
        <v>58</v>
      </c>
    </row>
    <row r="249" spans="1:17" x14ac:dyDescent="0.35">
      <c r="A249">
        <v>248</v>
      </c>
      <c r="B249" t="s">
        <v>717</v>
      </c>
      <c r="C249" t="s">
        <v>718</v>
      </c>
      <c r="D249" t="s">
        <v>1315</v>
      </c>
      <c r="E249">
        <v>24</v>
      </c>
      <c r="F249" t="str">
        <f t="shared" si="9"/>
        <v>teen</v>
      </c>
      <c r="G249" t="s">
        <v>719</v>
      </c>
      <c r="H249" t="str">
        <f t="shared" si="10"/>
        <v>Feb</v>
      </c>
      <c r="I249" t="s">
        <v>26</v>
      </c>
      <c r="J249" t="s">
        <v>18</v>
      </c>
      <c r="K249" t="s">
        <v>38</v>
      </c>
      <c r="L249" t="s">
        <v>20</v>
      </c>
      <c r="M249">
        <v>1</v>
      </c>
      <c r="N249" t="str">
        <f t="shared" si="11"/>
        <v>low</v>
      </c>
      <c r="O249">
        <v>2078</v>
      </c>
      <c r="P249" t="s">
        <v>27</v>
      </c>
      <c r="Q249" t="s">
        <v>22</v>
      </c>
    </row>
    <row r="250" spans="1:17" x14ac:dyDescent="0.35">
      <c r="A250">
        <v>249</v>
      </c>
      <c r="B250" t="s">
        <v>720</v>
      </c>
      <c r="C250" t="s">
        <v>721</v>
      </c>
      <c r="D250" t="s">
        <v>1315</v>
      </c>
      <c r="E250">
        <v>27</v>
      </c>
      <c r="F250" t="str">
        <f t="shared" si="9"/>
        <v>adult</v>
      </c>
      <c r="G250" t="s">
        <v>701</v>
      </c>
      <c r="H250" t="str">
        <f t="shared" si="10"/>
        <v>Apr</v>
      </c>
      <c r="I250" t="s">
        <v>17</v>
      </c>
      <c r="J250" t="s">
        <v>56</v>
      </c>
      <c r="K250" t="s">
        <v>38</v>
      </c>
      <c r="L250" t="s">
        <v>20</v>
      </c>
      <c r="M250">
        <v>5</v>
      </c>
      <c r="N250" t="str">
        <f t="shared" si="11"/>
        <v>high</v>
      </c>
      <c r="O250">
        <v>7145</v>
      </c>
      <c r="P250" t="s">
        <v>21</v>
      </c>
      <c r="Q250" t="s">
        <v>22</v>
      </c>
    </row>
    <row r="251" spans="1:17" x14ac:dyDescent="0.35">
      <c r="A251">
        <v>250</v>
      </c>
      <c r="B251" t="s">
        <v>722</v>
      </c>
      <c r="C251" t="s">
        <v>723</v>
      </c>
      <c r="D251" t="s">
        <v>1315</v>
      </c>
      <c r="E251">
        <v>38</v>
      </c>
      <c r="F251" t="str">
        <f t="shared" si="9"/>
        <v>adult</v>
      </c>
      <c r="G251" t="s">
        <v>724</v>
      </c>
      <c r="H251" t="str">
        <f t="shared" si="10"/>
        <v>Aug</v>
      </c>
      <c r="I251" t="s">
        <v>31</v>
      </c>
      <c r="J251" t="s">
        <v>18</v>
      </c>
      <c r="K251" t="s">
        <v>19</v>
      </c>
      <c r="L251" t="s">
        <v>39</v>
      </c>
      <c r="M251">
        <v>3</v>
      </c>
      <c r="N251" t="str">
        <f t="shared" si="11"/>
        <v>high</v>
      </c>
      <c r="O251">
        <v>5868</v>
      </c>
      <c r="P251" t="s">
        <v>27</v>
      </c>
      <c r="Q251" t="s">
        <v>22</v>
      </c>
    </row>
    <row r="252" spans="1:17" x14ac:dyDescent="0.35">
      <c r="A252">
        <v>251</v>
      </c>
      <c r="B252" t="s">
        <v>725</v>
      </c>
      <c r="C252" t="s">
        <v>726</v>
      </c>
      <c r="D252" t="s">
        <v>1316</v>
      </c>
      <c r="E252">
        <v>22</v>
      </c>
      <c r="F252" t="str">
        <f t="shared" si="9"/>
        <v>teen</v>
      </c>
      <c r="G252" t="s">
        <v>518</v>
      </c>
      <c r="H252" t="str">
        <f t="shared" si="10"/>
        <v>Feb</v>
      </c>
      <c r="I252" t="s">
        <v>17</v>
      </c>
      <c r="J252" t="s">
        <v>18</v>
      </c>
      <c r="K252" t="s">
        <v>19</v>
      </c>
      <c r="L252" t="s">
        <v>66</v>
      </c>
      <c r="M252">
        <v>5</v>
      </c>
      <c r="N252" t="str">
        <f t="shared" si="11"/>
        <v>high</v>
      </c>
      <c r="O252">
        <v>13310</v>
      </c>
      <c r="P252" t="s">
        <v>27</v>
      </c>
      <c r="Q252" t="s">
        <v>22</v>
      </c>
    </row>
    <row r="253" spans="1:17" x14ac:dyDescent="0.35">
      <c r="A253">
        <v>252</v>
      </c>
      <c r="B253" t="s">
        <v>727</v>
      </c>
      <c r="C253" t="s">
        <v>728</v>
      </c>
      <c r="D253" t="s">
        <v>1316</v>
      </c>
      <c r="E253">
        <v>50</v>
      </c>
      <c r="F253" t="str">
        <f t="shared" si="9"/>
        <v>senior</v>
      </c>
      <c r="G253" t="s">
        <v>729</v>
      </c>
      <c r="H253" t="str">
        <f t="shared" si="10"/>
        <v>Mar</v>
      </c>
      <c r="I253" t="s">
        <v>17</v>
      </c>
      <c r="J253" t="s">
        <v>37</v>
      </c>
      <c r="K253" t="s">
        <v>38</v>
      </c>
      <c r="L253" t="s">
        <v>32</v>
      </c>
      <c r="M253">
        <v>3</v>
      </c>
      <c r="N253" t="str">
        <f t="shared" si="11"/>
        <v>high</v>
      </c>
      <c r="O253">
        <v>5205</v>
      </c>
      <c r="P253" t="s">
        <v>40</v>
      </c>
      <c r="Q253" t="s">
        <v>22</v>
      </c>
    </row>
    <row r="254" spans="1:17" x14ac:dyDescent="0.35">
      <c r="A254">
        <v>253</v>
      </c>
      <c r="B254" t="s">
        <v>730</v>
      </c>
      <c r="C254" t="s">
        <v>731</v>
      </c>
      <c r="D254" t="s">
        <v>1315</v>
      </c>
      <c r="E254">
        <v>20</v>
      </c>
      <c r="F254" t="str">
        <f t="shared" si="9"/>
        <v>teen</v>
      </c>
      <c r="G254" t="s">
        <v>732</v>
      </c>
      <c r="H254" t="str">
        <f t="shared" si="10"/>
        <v>Jul</v>
      </c>
      <c r="I254" t="s">
        <v>26</v>
      </c>
      <c r="J254" t="s">
        <v>56</v>
      </c>
      <c r="K254" t="s">
        <v>38</v>
      </c>
      <c r="L254" t="s">
        <v>39</v>
      </c>
      <c r="M254">
        <v>5</v>
      </c>
      <c r="N254" t="str">
        <f t="shared" si="11"/>
        <v>high</v>
      </c>
      <c r="O254">
        <v>6270</v>
      </c>
      <c r="P254" t="s">
        <v>21</v>
      </c>
      <c r="Q254" t="s">
        <v>22</v>
      </c>
    </row>
    <row r="255" spans="1:17" x14ac:dyDescent="0.35">
      <c r="A255">
        <v>254</v>
      </c>
      <c r="B255" t="s">
        <v>733</v>
      </c>
      <c r="C255" t="s">
        <v>734</v>
      </c>
      <c r="D255" t="s">
        <v>1315</v>
      </c>
      <c r="E255">
        <v>20</v>
      </c>
      <c r="F255" t="str">
        <f t="shared" si="9"/>
        <v>teen</v>
      </c>
      <c r="G255" t="s">
        <v>735</v>
      </c>
      <c r="H255" t="str">
        <f t="shared" si="10"/>
        <v>Dec</v>
      </c>
      <c r="I255" t="s">
        <v>26</v>
      </c>
      <c r="J255" t="s">
        <v>56</v>
      </c>
      <c r="K255" t="s">
        <v>38</v>
      </c>
      <c r="L255" t="s">
        <v>20</v>
      </c>
      <c r="M255">
        <v>4</v>
      </c>
      <c r="N255" t="str">
        <f t="shared" si="11"/>
        <v>high</v>
      </c>
      <c r="O255">
        <v>9980</v>
      </c>
      <c r="P255" t="s">
        <v>21</v>
      </c>
      <c r="Q255" t="s">
        <v>22</v>
      </c>
    </row>
    <row r="256" spans="1:17" x14ac:dyDescent="0.35">
      <c r="A256">
        <v>255</v>
      </c>
      <c r="B256" t="s">
        <v>736</v>
      </c>
      <c r="C256" t="s">
        <v>737</v>
      </c>
      <c r="D256" t="s">
        <v>1316</v>
      </c>
      <c r="E256">
        <v>52</v>
      </c>
      <c r="F256" t="str">
        <f t="shared" si="9"/>
        <v>senior</v>
      </c>
      <c r="G256" t="s">
        <v>724</v>
      </c>
      <c r="H256" t="str">
        <f t="shared" si="10"/>
        <v>Aug</v>
      </c>
      <c r="I256" t="s">
        <v>17</v>
      </c>
      <c r="J256" t="s">
        <v>18</v>
      </c>
      <c r="K256" t="s">
        <v>62</v>
      </c>
      <c r="L256" t="s">
        <v>32</v>
      </c>
      <c r="M256">
        <v>3</v>
      </c>
      <c r="N256" t="str">
        <f t="shared" si="11"/>
        <v>low</v>
      </c>
      <c r="O256">
        <v>2376</v>
      </c>
      <c r="P256" t="s">
        <v>44</v>
      </c>
      <c r="Q256" t="s">
        <v>45</v>
      </c>
    </row>
    <row r="257" spans="1:17" x14ac:dyDescent="0.35">
      <c r="A257">
        <v>256</v>
      </c>
      <c r="B257" t="s">
        <v>738</v>
      </c>
      <c r="C257" t="s">
        <v>739</v>
      </c>
      <c r="D257" t="s">
        <v>1316</v>
      </c>
      <c r="E257">
        <v>23</v>
      </c>
      <c r="F257" t="str">
        <f t="shared" si="9"/>
        <v>teen</v>
      </c>
      <c r="G257" t="s">
        <v>591</v>
      </c>
      <c r="H257" t="str">
        <f t="shared" si="10"/>
        <v>Jul</v>
      </c>
      <c r="I257" t="s">
        <v>17</v>
      </c>
      <c r="J257" t="s">
        <v>37</v>
      </c>
      <c r="K257" t="s">
        <v>49</v>
      </c>
      <c r="L257" t="s">
        <v>66</v>
      </c>
      <c r="M257">
        <v>2</v>
      </c>
      <c r="N257" t="str">
        <f t="shared" si="11"/>
        <v>low</v>
      </c>
      <c r="O257">
        <v>2972</v>
      </c>
      <c r="P257" t="s">
        <v>27</v>
      </c>
      <c r="Q257" t="s">
        <v>22</v>
      </c>
    </row>
    <row r="258" spans="1:17" x14ac:dyDescent="0.35">
      <c r="A258">
        <v>257</v>
      </c>
      <c r="B258" t="s">
        <v>740</v>
      </c>
      <c r="C258" t="s">
        <v>741</v>
      </c>
      <c r="D258" t="s">
        <v>1316</v>
      </c>
      <c r="E258">
        <v>58</v>
      </c>
      <c r="F258" t="str">
        <f t="shared" si="9"/>
        <v>senior</v>
      </c>
      <c r="G258" t="s">
        <v>582</v>
      </c>
      <c r="H258" t="str">
        <f t="shared" si="10"/>
        <v>May</v>
      </c>
      <c r="I258" t="s">
        <v>17</v>
      </c>
      <c r="J258" t="s">
        <v>37</v>
      </c>
      <c r="K258" t="s">
        <v>38</v>
      </c>
      <c r="L258" t="s">
        <v>66</v>
      </c>
      <c r="M258">
        <v>5</v>
      </c>
      <c r="N258" t="str">
        <f t="shared" si="11"/>
        <v>high</v>
      </c>
      <c r="O258">
        <v>7010</v>
      </c>
      <c r="P258" t="s">
        <v>99</v>
      </c>
      <c r="Q258" t="s">
        <v>100</v>
      </c>
    </row>
    <row r="259" spans="1:17" x14ac:dyDescent="0.35">
      <c r="A259">
        <v>258</v>
      </c>
      <c r="B259" t="s">
        <v>742</v>
      </c>
      <c r="C259" t="s">
        <v>743</v>
      </c>
      <c r="D259" t="s">
        <v>1316</v>
      </c>
      <c r="E259">
        <v>55</v>
      </c>
      <c r="F259" t="str">
        <f t="shared" ref="F259:F322" si="12">IF(E259&gt;45,"senior",IF(E259&gt;=25,"adult","teen"))</f>
        <v>senior</v>
      </c>
      <c r="G259" t="s">
        <v>280</v>
      </c>
      <c r="H259" t="str">
        <f t="shared" ref="H259:H322" si="13">TEXT(G259,"mmm")</f>
        <v>Feb</v>
      </c>
      <c r="I259" t="s">
        <v>31</v>
      </c>
      <c r="J259" t="s">
        <v>56</v>
      </c>
      <c r="K259" t="s">
        <v>19</v>
      </c>
      <c r="L259" t="s">
        <v>66</v>
      </c>
      <c r="M259">
        <v>5</v>
      </c>
      <c r="N259" t="str">
        <f t="shared" ref="N259:N322" si="14">IF(O259&gt;=3000,"high",IF(O259&gt;=500,"low","medium"))</f>
        <v>high</v>
      </c>
      <c r="O259">
        <v>14090</v>
      </c>
      <c r="P259" t="s">
        <v>40</v>
      </c>
      <c r="Q259" t="s">
        <v>22</v>
      </c>
    </row>
    <row r="260" spans="1:17" x14ac:dyDescent="0.35">
      <c r="A260">
        <v>259</v>
      </c>
      <c r="B260" t="s">
        <v>744</v>
      </c>
      <c r="C260" t="s">
        <v>745</v>
      </c>
      <c r="D260" t="s">
        <v>1316</v>
      </c>
      <c r="E260">
        <v>51</v>
      </c>
      <c r="F260" t="str">
        <f t="shared" si="12"/>
        <v>senior</v>
      </c>
      <c r="G260" t="s">
        <v>746</v>
      </c>
      <c r="H260" t="str">
        <f t="shared" si="13"/>
        <v>Sep</v>
      </c>
      <c r="I260" t="s">
        <v>26</v>
      </c>
      <c r="J260" t="s">
        <v>37</v>
      </c>
      <c r="K260" t="s">
        <v>19</v>
      </c>
      <c r="L260" t="s">
        <v>32</v>
      </c>
      <c r="M260">
        <v>4</v>
      </c>
      <c r="N260" t="str">
        <f t="shared" si="14"/>
        <v>high</v>
      </c>
      <c r="O260">
        <v>4564</v>
      </c>
      <c r="P260" t="s">
        <v>21</v>
      </c>
      <c r="Q260" t="s">
        <v>22</v>
      </c>
    </row>
    <row r="261" spans="1:17" x14ac:dyDescent="0.35">
      <c r="A261">
        <v>260</v>
      </c>
      <c r="B261" t="s">
        <v>747</v>
      </c>
      <c r="C261" t="s">
        <v>748</v>
      </c>
      <c r="D261" t="s">
        <v>1316</v>
      </c>
      <c r="E261">
        <v>46</v>
      </c>
      <c r="F261" t="str">
        <f t="shared" si="12"/>
        <v>senior</v>
      </c>
      <c r="G261" t="s">
        <v>579</v>
      </c>
      <c r="H261" t="str">
        <f t="shared" si="13"/>
        <v>Oct</v>
      </c>
      <c r="I261" t="s">
        <v>31</v>
      </c>
      <c r="J261" t="s">
        <v>56</v>
      </c>
      <c r="K261" t="s">
        <v>19</v>
      </c>
      <c r="L261" t="s">
        <v>32</v>
      </c>
      <c r="M261">
        <v>5</v>
      </c>
      <c r="N261" t="str">
        <f t="shared" si="14"/>
        <v>low</v>
      </c>
      <c r="O261">
        <v>2555</v>
      </c>
      <c r="P261" t="s">
        <v>79</v>
      </c>
      <c r="Q261" t="s">
        <v>80</v>
      </c>
    </row>
    <row r="262" spans="1:17" x14ac:dyDescent="0.35">
      <c r="A262">
        <v>261</v>
      </c>
      <c r="B262" t="s">
        <v>749</v>
      </c>
      <c r="C262" t="s">
        <v>750</v>
      </c>
      <c r="D262" t="s">
        <v>1315</v>
      </c>
      <c r="E262">
        <v>41</v>
      </c>
      <c r="F262" t="str">
        <f t="shared" si="12"/>
        <v>adult</v>
      </c>
      <c r="G262" t="s">
        <v>526</v>
      </c>
      <c r="H262" t="str">
        <f t="shared" si="13"/>
        <v>Mar</v>
      </c>
      <c r="I262" t="s">
        <v>26</v>
      </c>
      <c r="J262" t="s">
        <v>18</v>
      </c>
      <c r="K262" t="s">
        <v>49</v>
      </c>
      <c r="L262" t="s">
        <v>20</v>
      </c>
      <c r="M262">
        <v>4</v>
      </c>
      <c r="N262" t="str">
        <f t="shared" si="14"/>
        <v>high</v>
      </c>
      <c r="O262">
        <v>9672</v>
      </c>
      <c r="P262" t="s">
        <v>40</v>
      </c>
      <c r="Q262" t="s">
        <v>22</v>
      </c>
    </row>
    <row r="263" spans="1:17" x14ac:dyDescent="0.35">
      <c r="A263">
        <v>262</v>
      </c>
      <c r="B263" t="s">
        <v>751</v>
      </c>
      <c r="C263" t="s">
        <v>752</v>
      </c>
      <c r="D263" t="s">
        <v>1315</v>
      </c>
      <c r="E263">
        <v>34</v>
      </c>
      <c r="F263" t="str">
        <f t="shared" si="12"/>
        <v>adult</v>
      </c>
      <c r="G263" t="s">
        <v>701</v>
      </c>
      <c r="H263" t="str">
        <f t="shared" si="13"/>
        <v>Apr</v>
      </c>
      <c r="I263" t="s">
        <v>31</v>
      </c>
      <c r="J263" t="s">
        <v>18</v>
      </c>
      <c r="K263" t="s">
        <v>38</v>
      </c>
      <c r="L263" t="s">
        <v>20</v>
      </c>
      <c r="M263">
        <v>2</v>
      </c>
      <c r="N263" t="str">
        <f t="shared" si="14"/>
        <v>low</v>
      </c>
      <c r="O263">
        <v>1334</v>
      </c>
      <c r="P263" t="s">
        <v>27</v>
      </c>
      <c r="Q263" t="s">
        <v>22</v>
      </c>
    </row>
    <row r="264" spans="1:17" x14ac:dyDescent="0.35">
      <c r="A264">
        <v>263</v>
      </c>
      <c r="B264" t="s">
        <v>753</v>
      </c>
      <c r="C264" t="s">
        <v>754</v>
      </c>
      <c r="D264" t="s">
        <v>1315</v>
      </c>
      <c r="E264">
        <v>46</v>
      </c>
      <c r="F264" t="str">
        <f t="shared" si="12"/>
        <v>senior</v>
      </c>
      <c r="G264" t="s">
        <v>246</v>
      </c>
      <c r="H264" t="str">
        <f t="shared" si="13"/>
        <v>May</v>
      </c>
      <c r="I264" t="s">
        <v>26</v>
      </c>
      <c r="J264" t="s">
        <v>56</v>
      </c>
      <c r="K264" t="s">
        <v>38</v>
      </c>
      <c r="L264" t="s">
        <v>66</v>
      </c>
      <c r="M264">
        <v>3</v>
      </c>
      <c r="N264" t="str">
        <f t="shared" si="14"/>
        <v>low</v>
      </c>
      <c r="O264">
        <v>1515</v>
      </c>
      <c r="P264" t="s">
        <v>79</v>
      </c>
      <c r="Q264" t="s">
        <v>80</v>
      </c>
    </row>
    <row r="265" spans="1:17" x14ac:dyDescent="0.35">
      <c r="A265">
        <v>264</v>
      </c>
      <c r="B265" t="s">
        <v>755</v>
      </c>
      <c r="C265" t="s">
        <v>756</v>
      </c>
      <c r="D265" t="s">
        <v>1315</v>
      </c>
      <c r="E265">
        <v>39</v>
      </c>
      <c r="F265" t="str">
        <f t="shared" si="12"/>
        <v>adult</v>
      </c>
      <c r="G265" t="s">
        <v>757</v>
      </c>
      <c r="H265" t="str">
        <f t="shared" si="13"/>
        <v>Sep</v>
      </c>
      <c r="I265" t="s">
        <v>31</v>
      </c>
      <c r="J265" t="s">
        <v>56</v>
      </c>
      <c r="K265" t="s">
        <v>49</v>
      </c>
      <c r="L265" t="s">
        <v>66</v>
      </c>
      <c r="M265">
        <v>2</v>
      </c>
      <c r="N265" t="str">
        <f t="shared" si="14"/>
        <v>high</v>
      </c>
      <c r="O265">
        <v>5042</v>
      </c>
      <c r="P265" t="s">
        <v>79</v>
      </c>
      <c r="Q265" t="s">
        <v>80</v>
      </c>
    </row>
    <row r="266" spans="1:17" x14ac:dyDescent="0.35">
      <c r="A266">
        <v>265</v>
      </c>
      <c r="B266" t="s">
        <v>758</v>
      </c>
      <c r="C266" t="s">
        <v>759</v>
      </c>
      <c r="D266" t="s">
        <v>1315</v>
      </c>
      <c r="E266">
        <v>52</v>
      </c>
      <c r="F266" t="str">
        <f t="shared" si="12"/>
        <v>senior</v>
      </c>
      <c r="G266" t="s">
        <v>760</v>
      </c>
      <c r="H266" t="str">
        <f t="shared" si="13"/>
        <v>Mar</v>
      </c>
      <c r="I266" t="s">
        <v>17</v>
      </c>
      <c r="J266" t="s">
        <v>18</v>
      </c>
      <c r="K266" t="s">
        <v>38</v>
      </c>
      <c r="L266" t="s">
        <v>66</v>
      </c>
      <c r="M266">
        <v>3</v>
      </c>
      <c r="N266" t="str">
        <f t="shared" si="14"/>
        <v>high</v>
      </c>
      <c r="O266">
        <v>7740</v>
      </c>
      <c r="P266" t="s">
        <v>40</v>
      </c>
      <c r="Q266" t="s">
        <v>22</v>
      </c>
    </row>
    <row r="267" spans="1:17" x14ac:dyDescent="0.35">
      <c r="A267">
        <v>266</v>
      </c>
      <c r="B267" t="s">
        <v>761</v>
      </c>
      <c r="C267" t="s">
        <v>762</v>
      </c>
      <c r="D267" t="s">
        <v>1316</v>
      </c>
      <c r="E267">
        <v>55</v>
      </c>
      <c r="F267" t="str">
        <f t="shared" si="12"/>
        <v>senior</v>
      </c>
      <c r="G267" t="s">
        <v>763</v>
      </c>
      <c r="H267" t="str">
        <f t="shared" si="13"/>
        <v>Sep</v>
      </c>
      <c r="I267" t="s">
        <v>26</v>
      </c>
      <c r="J267" t="s">
        <v>56</v>
      </c>
      <c r="K267" t="s">
        <v>38</v>
      </c>
      <c r="L267" t="s">
        <v>66</v>
      </c>
      <c r="M267">
        <v>5</v>
      </c>
      <c r="N267" t="str">
        <f t="shared" si="14"/>
        <v>high</v>
      </c>
      <c r="O267">
        <v>4075</v>
      </c>
      <c r="P267" t="s">
        <v>44</v>
      </c>
      <c r="Q267" t="s">
        <v>45</v>
      </c>
    </row>
    <row r="268" spans="1:17" x14ac:dyDescent="0.35">
      <c r="A268">
        <v>267</v>
      </c>
      <c r="B268" t="s">
        <v>764</v>
      </c>
      <c r="C268" t="s">
        <v>765</v>
      </c>
      <c r="D268" t="s">
        <v>1316</v>
      </c>
      <c r="E268">
        <v>45</v>
      </c>
      <c r="F268" t="str">
        <f t="shared" si="12"/>
        <v>adult</v>
      </c>
      <c r="G268" t="s">
        <v>200</v>
      </c>
      <c r="H268" t="str">
        <f t="shared" si="13"/>
        <v>Dec</v>
      </c>
      <c r="I268" t="s">
        <v>26</v>
      </c>
      <c r="J268" t="s">
        <v>56</v>
      </c>
      <c r="K268" t="s">
        <v>38</v>
      </c>
      <c r="L268" t="s">
        <v>66</v>
      </c>
      <c r="M268">
        <v>5</v>
      </c>
      <c r="N268" t="str">
        <f t="shared" si="14"/>
        <v>high</v>
      </c>
      <c r="O268">
        <v>12220</v>
      </c>
      <c r="P268" t="s">
        <v>57</v>
      </c>
      <c r="Q268" t="s">
        <v>58</v>
      </c>
    </row>
    <row r="269" spans="1:17" x14ac:dyDescent="0.35">
      <c r="A269">
        <v>268</v>
      </c>
      <c r="B269" t="s">
        <v>766</v>
      </c>
      <c r="C269" t="s">
        <v>767</v>
      </c>
      <c r="D269" t="s">
        <v>1315</v>
      </c>
      <c r="E269">
        <v>43</v>
      </c>
      <c r="F269" t="str">
        <f t="shared" si="12"/>
        <v>adult</v>
      </c>
      <c r="G269" t="s">
        <v>331</v>
      </c>
      <c r="H269" t="str">
        <f t="shared" si="13"/>
        <v>Aug</v>
      </c>
      <c r="I269" t="s">
        <v>31</v>
      </c>
      <c r="J269" t="s">
        <v>37</v>
      </c>
      <c r="K269" t="s">
        <v>49</v>
      </c>
      <c r="L269" t="s">
        <v>32</v>
      </c>
      <c r="M269">
        <v>1</v>
      </c>
      <c r="N269" t="str">
        <f t="shared" si="14"/>
        <v>low</v>
      </c>
      <c r="O269">
        <v>1001</v>
      </c>
      <c r="P269" t="s">
        <v>21</v>
      </c>
      <c r="Q269" t="s">
        <v>22</v>
      </c>
    </row>
    <row r="270" spans="1:17" x14ac:dyDescent="0.35">
      <c r="A270">
        <v>269</v>
      </c>
      <c r="B270" t="s">
        <v>768</v>
      </c>
      <c r="C270" t="s">
        <v>769</v>
      </c>
      <c r="D270" t="s">
        <v>1315</v>
      </c>
      <c r="E270">
        <v>39</v>
      </c>
      <c r="F270" t="str">
        <f t="shared" si="12"/>
        <v>adult</v>
      </c>
      <c r="G270" t="s">
        <v>770</v>
      </c>
      <c r="H270" t="str">
        <f t="shared" si="13"/>
        <v>Oct</v>
      </c>
      <c r="I270" t="s">
        <v>26</v>
      </c>
      <c r="J270" t="s">
        <v>37</v>
      </c>
      <c r="K270" t="s">
        <v>19</v>
      </c>
      <c r="L270" t="s">
        <v>66</v>
      </c>
      <c r="M270">
        <v>4</v>
      </c>
      <c r="N270" t="str">
        <f t="shared" si="14"/>
        <v>high</v>
      </c>
      <c r="O270">
        <v>9512</v>
      </c>
      <c r="P270" t="s">
        <v>57</v>
      </c>
      <c r="Q270" t="s">
        <v>58</v>
      </c>
    </row>
    <row r="271" spans="1:17" x14ac:dyDescent="0.35">
      <c r="A271">
        <v>270</v>
      </c>
      <c r="B271" t="s">
        <v>771</v>
      </c>
      <c r="C271" t="s">
        <v>772</v>
      </c>
      <c r="D271" t="s">
        <v>1315</v>
      </c>
      <c r="E271">
        <v>19</v>
      </c>
      <c r="F271" t="str">
        <f t="shared" si="12"/>
        <v>teen</v>
      </c>
      <c r="G271" t="s">
        <v>773</v>
      </c>
      <c r="H271" t="str">
        <f t="shared" si="13"/>
        <v>Aug</v>
      </c>
      <c r="I271" t="s">
        <v>26</v>
      </c>
      <c r="J271" t="s">
        <v>56</v>
      </c>
      <c r="K271" t="s">
        <v>62</v>
      </c>
      <c r="L271" t="s">
        <v>66</v>
      </c>
      <c r="M271">
        <v>5</v>
      </c>
      <c r="N271" t="str">
        <f t="shared" si="14"/>
        <v>high</v>
      </c>
      <c r="O271">
        <v>5040</v>
      </c>
      <c r="P271" t="s">
        <v>57</v>
      </c>
      <c r="Q271" t="s">
        <v>58</v>
      </c>
    </row>
    <row r="272" spans="1:17" x14ac:dyDescent="0.35">
      <c r="A272">
        <v>271</v>
      </c>
      <c r="B272" t="s">
        <v>774</v>
      </c>
      <c r="C272" t="s">
        <v>775</v>
      </c>
      <c r="D272" t="s">
        <v>1315</v>
      </c>
      <c r="E272">
        <v>28</v>
      </c>
      <c r="F272" t="str">
        <f t="shared" si="12"/>
        <v>adult</v>
      </c>
      <c r="G272" t="s">
        <v>776</v>
      </c>
      <c r="H272" t="str">
        <f t="shared" si="13"/>
        <v>Jan</v>
      </c>
      <c r="I272" t="s">
        <v>17</v>
      </c>
      <c r="J272" t="s">
        <v>56</v>
      </c>
      <c r="K272" t="s">
        <v>62</v>
      </c>
      <c r="L272" t="s">
        <v>66</v>
      </c>
      <c r="M272">
        <v>4</v>
      </c>
      <c r="N272" t="str">
        <f t="shared" si="14"/>
        <v>high</v>
      </c>
      <c r="O272">
        <v>5968</v>
      </c>
      <c r="P272" t="s">
        <v>27</v>
      </c>
      <c r="Q272" t="s">
        <v>22</v>
      </c>
    </row>
    <row r="273" spans="1:17" x14ac:dyDescent="0.35">
      <c r="A273">
        <v>272</v>
      </c>
      <c r="B273" t="s">
        <v>777</v>
      </c>
      <c r="C273" t="s">
        <v>778</v>
      </c>
      <c r="D273" t="s">
        <v>1315</v>
      </c>
      <c r="E273">
        <v>52</v>
      </c>
      <c r="F273" t="str">
        <f t="shared" si="12"/>
        <v>senior</v>
      </c>
      <c r="G273" t="s">
        <v>541</v>
      </c>
      <c r="H273" t="str">
        <f t="shared" si="13"/>
        <v>Oct</v>
      </c>
      <c r="I273" t="s">
        <v>26</v>
      </c>
      <c r="J273" t="s">
        <v>18</v>
      </c>
      <c r="K273" t="s">
        <v>49</v>
      </c>
      <c r="L273" t="s">
        <v>66</v>
      </c>
      <c r="M273">
        <v>3</v>
      </c>
      <c r="N273" t="str">
        <f t="shared" si="14"/>
        <v>high</v>
      </c>
      <c r="O273">
        <v>6558</v>
      </c>
      <c r="P273" t="s">
        <v>57</v>
      </c>
      <c r="Q273" t="s">
        <v>58</v>
      </c>
    </row>
    <row r="274" spans="1:17" x14ac:dyDescent="0.35">
      <c r="A274">
        <v>273</v>
      </c>
      <c r="B274" t="s">
        <v>779</v>
      </c>
      <c r="C274" t="s">
        <v>780</v>
      </c>
      <c r="D274" t="s">
        <v>1315</v>
      </c>
      <c r="E274">
        <v>24</v>
      </c>
      <c r="F274" t="str">
        <f t="shared" si="12"/>
        <v>teen</v>
      </c>
      <c r="G274" t="s">
        <v>781</v>
      </c>
      <c r="H274" t="str">
        <f t="shared" si="13"/>
        <v>Nov</v>
      </c>
      <c r="I274" t="s">
        <v>17</v>
      </c>
      <c r="J274" t="s">
        <v>37</v>
      </c>
      <c r="K274" t="s">
        <v>38</v>
      </c>
      <c r="L274" t="s">
        <v>39</v>
      </c>
      <c r="M274">
        <v>4</v>
      </c>
      <c r="N274" t="str">
        <f t="shared" si="14"/>
        <v>high</v>
      </c>
      <c r="O274">
        <v>3952</v>
      </c>
      <c r="P274" t="s">
        <v>33</v>
      </c>
      <c r="Q274" t="s">
        <v>33</v>
      </c>
    </row>
    <row r="275" spans="1:17" x14ac:dyDescent="0.35">
      <c r="A275">
        <v>274</v>
      </c>
      <c r="B275" t="s">
        <v>782</v>
      </c>
      <c r="C275" t="s">
        <v>783</v>
      </c>
      <c r="D275" t="s">
        <v>1315</v>
      </c>
      <c r="E275">
        <v>31</v>
      </c>
      <c r="F275" t="str">
        <f t="shared" si="12"/>
        <v>adult</v>
      </c>
      <c r="G275" t="s">
        <v>784</v>
      </c>
      <c r="H275" t="str">
        <f t="shared" si="13"/>
        <v>Nov</v>
      </c>
      <c r="I275" t="s">
        <v>31</v>
      </c>
      <c r="J275" t="s">
        <v>18</v>
      </c>
      <c r="K275" t="s">
        <v>19</v>
      </c>
      <c r="L275" t="s">
        <v>32</v>
      </c>
      <c r="M275">
        <v>3</v>
      </c>
      <c r="N275" t="str">
        <f t="shared" si="14"/>
        <v>high</v>
      </c>
      <c r="O275">
        <v>7509</v>
      </c>
      <c r="P275" t="s">
        <v>44</v>
      </c>
      <c r="Q275" t="s">
        <v>45</v>
      </c>
    </row>
    <row r="276" spans="1:17" x14ac:dyDescent="0.35">
      <c r="A276">
        <v>275</v>
      </c>
      <c r="B276" t="s">
        <v>785</v>
      </c>
      <c r="C276" t="s">
        <v>786</v>
      </c>
      <c r="D276" t="s">
        <v>1315</v>
      </c>
      <c r="E276">
        <v>48</v>
      </c>
      <c r="F276" t="str">
        <f t="shared" si="12"/>
        <v>senior</v>
      </c>
      <c r="G276" t="s">
        <v>148</v>
      </c>
      <c r="H276" t="str">
        <f t="shared" si="13"/>
        <v>Jul</v>
      </c>
      <c r="I276" t="s">
        <v>17</v>
      </c>
      <c r="J276" t="s">
        <v>18</v>
      </c>
      <c r="K276" t="s">
        <v>49</v>
      </c>
      <c r="L276" t="s">
        <v>32</v>
      </c>
      <c r="M276">
        <v>3</v>
      </c>
      <c r="N276" t="str">
        <f t="shared" si="14"/>
        <v>high</v>
      </c>
      <c r="O276">
        <v>4836</v>
      </c>
      <c r="P276" t="s">
        <v>99</v>
      </c>
      <c r="Q276" t="s">
        <v>100</v>
      </c>
    </row>
    <row r="277" spans="1:17" x14ac:dyDescent="0.35">
      <c r="A277">
        <v>276</v>
      </c>
      <c r="B277" t="s">
        <v>787</v>
      </c>
      <c r="C277" t="s">
        <v>788</v>
      </c>
      <c r="D277" t="s">
        <v>1316</v>
      </c>
      <c r="E277">
        <v>21</v>
      </c>
      <c r="F277" t="str">
        <f t="shared" si="12"/>
        <v>teen</v>
      </c>
      <c r="G277" t="s">
        <v>789</v>
      </c>
      <c r="H277" t="str">
        <f t="shared" si="13"/>
        <v>Nov</v>
      </c>
      <c r="I277" t="s">
        <v>26</v>
      </c>
      <c r="J277" t="s">
        <v>37</v>
      </c>
      <c r="K277" t="s">
        <v>49</v>
      </c>
      <c r="L277" t="s">
        <v>39</v>
      </c>
      <c r="M277">
        <v>1</v>
      </c>
      <c r="N277" t="str">
        <f t="shared" si="14"/>
        <v>low</v>
      </c>
      <c r="O277">
        <v>1834</v>
      </c>
      <c r="P277" t="s">
        <v>33</v>
      </c>
      <c r="Q277" t="s">
        <v>33</v>
      </c>
    </row>
    <row r="278" spans="1:17" x14ac:dyDescent="0.35">
      <c r="A278">
        <v>277</v>
      </c>
      <c r="B278" t="s">
        <v>790</v>
      </c>
      <c r="C278" t="s">
        <v>791</v>
      </c>
      <c r="D278" t="s">
        <v>1316</v>
      </c>
      <c r="E278">
        <v>29</v>
      </c>
      <c r="F278" t="str">
        <f t="shared" si="12"/>
        <v>adult</v>
      </c>
      <c r="G278" t="s">
        <v>453</v>
      </c>
      <c r="H278" t="str">
        <f t="shared" si="13"/>
        <v>Mar</v>
      </c>
      <c r="I278" t="s">
        <v>17</v>
      </c>
      <c r="J278" t="s">
        <v>18</v>
      </c>
      <c r="K278" t="s">
        <v>49</v>
      </c>
      <c r="L278" t="s">
        <v>39</v>
      </c>
      <c r="M278">
        <v>3</v>
      </c>
      <c r="N278" t="str">
        <f t="shared" si="14"/>
        <v>low</v>
      </c>
      <c r="O278">
        <v>2661</v>
      </c>
      <c r="P278" t="s">
        <v>21</v>
      </c>
      <c r="Q278" t="s">
        <v>22</v>
      </c>
    </row>
    <row r="279" spans="1:17" x14ac:dyDescent="0.35">
      <c r="A279">
        <v>278</v>
      </c>
      <c r="B279" t="s">
        <v>792</v>
      </c>
      <c r="C279" t="s">
        <v>793</v>
      </c>
      <c r="D279" t="s">
        <v>1315</v>
      </c>
      <c r="E279">
        <v>45</v>
      </c>
      <c r="F279" t="str">
        <f t="shared" si="12"/>
        <v>adult</v>
      </c>
      <c r="G279" t="s">
        <v>416</v>
      </c>
      <c r="H279" t="str">
        <f t="shared" si="13"/>
        <v>Nov</v>
      </c>
      <c r="I279" t="s">
        <v>31</v>
      </c>
      <c r="J279" t="s">
        <v>56</v>
      </c>
      <c r="K279" t="s">
        <v>19</v>
      </c>
      <c r="L279" t="s">
        <v>39</v>
      </c>
      <c r="M279">
        <v>4</v>
      </c>
      <c r="N279" t="str">
        <f t="shared" si="14"/>
        <v>high</v>
      </c>
      <c r="O279">
        <v>8784</v>
      </c>
      <c r="P279" t="s">
        <v>44</v>
      </c>
      <c r="Q279" t="s">
        <v>45</v>
      </c>
    </row>
    <row r="280" spans="1:17" x14ac:dyDescent="0.35">
      <c r="A280">
        <v>279</v>
      </c>
      <c r="B280" t="s">
        <v>794</v>
      </c>
      <c r="C280" t="s">
        <v>795</v>
      </c>
      <c r="D280" t="s">
        <v>1315</v>
      </c>
      <c r="E280">
        <v>23</v>
      </c>
      <c r="F280" t="str">
        <f t="shared" si="12"/>
        <v>teen</v>
      </c>
      <c r="G280" t="s">
        <v>151</v>
      </c>
      <c r="H280" t="str">
        <f t="shared" si="13"/>
        <v>Apr</v>
      </c>
      <c r="I280" t="s">
        <v>17</v>
      </c>
      <c r="J280" t="s">
        <v>18</v>
      </c>
      <c r="K280" t="s">
        <v>62</v>
      </c>
      <c r="L280" t="s">
        <v>32</v>
      </c>
      <c r="M280">
        <v>2</v>
      </c>
      <c r="N280" t="str">
        <f t="shared" si="14"/>
        <v>low</v>
      </c>
      <c r="O280">
        <v>2772</v>
      </c>
      <c r="P280" t="s">
        <v>99</v>
      </c>
      <c r="Q280" t="s">
        <v>100</v>
      </c>
    </row>
    <row r="281" spans="1:17" x14ac:dyDescent="0.35">
      <c r="A281">
        <v>280</v>
      </c>
      <c r="B281" t="s">
        <v>796</v>
      </c>
      <c r="C281" t="s">
        <v>797</v>
      </c>
      <c r="D281" t="s">
        <v>1316</v>
      </c>
      <c r="E281">
        <v>21</v>
      </c>
      <c r="F281" t="str">
        <f t="shared" si="12"/>
        <v>teen</v>
      </c>
      <c r="G281" t="s">
        <v>798</v>
      </c>
      <c r="H281" t="str">
        <f t="shared" si="13"/>
        <v>Oct</v>
      </c>
      <c r="I281" t="s">
        <v>31</v>
      </c>
      <c r="J281" t="s">
        <v>18</v>
      </c>
      <c r="K281" t="s">
        <v>19</v>
      </c>
      <c r="L281" t="s">
        <v>20</v>
      </c>
      <c r="M281">
        <v>5</v>
      </c>
      <c r="N281" t="str">
        <f t="shared" si="14"/>
        <v>low</v>
      </c>
      <c r="O281">
        <v>2560</v>
      </c>
      <c r="P281" t="s">
        <v>44</v>
      </c>
      <c r="Q281" t="s">
        <v>45</v>
      </c>
    </row>
    <row r="282" spans="1:17" x14ac:dyDescent="0.35">
      <c r="A282">
        <v>281</v>
      </c>
      <c r="B282" t="s">
        <v>799</v>
      </c>
      <c r="C282" t="s">
        <v>800</v>
      </c>
      <c r="D282" t="s">
        <v>1315</v>
      </c>
      <c r="E282">
        <v>51</v>
      </c>
      <c r="F282" t="str">
        <f t="shared" si="12"/>
        <v>senior</v>
      </c>
      <c r="G282" t="s">
        <v>214</v>
      </c>
      <c r="H282" t="str">
        <f t="shared" si="13"/>
        <v>Dec</v>
      </c>
      <c r="I282" t="s">
        <v>31</v>
      </c>
      <c r="J282" t="s">
        <v>18</v>
      </c>
      <c r="K282" t="s">
        <v>62</v>
      </c>
      <c r="L282" t="s">
        <v>20</v>
      </c>
      <c r="M282">
        <v>1</v>
      </c>
      <c r="N282" t="str">
        <f t="shared" si="14"/>
        <v>low</v>
      </c>
      <c r="O282">
        <v>914</v>
      </c>
      <c r="P282" t="s">
        <v>40</v>
      </c>
      <c r="Q282" t="s">
        <v>22</v>
      </c>
    </row>
    <row r="283" spans="1:17" x14ac:dyDescent="0.35">
      <c r="A283">
        <v>282</v>
      </c>
      <c r="B283" t="s">
        <v>801</v>
      </c>
      <c r="C283" t="s">
        <v>802</v>
      </c>
      <c r="D283" t="s">
        <v>1316</v>
      </c>
      <c r="E283">
        <v>28</v>
      </c>
      <c r="F283" t="str">
        <f t="shared" si="12"/>
        <v>adult</v>
      </c>
      <c r="G283" t="s">
        <v>803</v>
      </c>
      <c r="H283" t="str">
        <f t="shared" si="13"/>
        <v>Sep</v>
      </c>
      <c r="I283" t="s">
        <v>31</v>
      </c>
      <c r="J283" t="s">
        <v>18</v>
      </c>
      <c r="K283" t="s">
        <v>49</v>
      </c>
      <c r="L283" t="s">
        <v>32</v>
      </c>
      <c r="M283">
        <v>5</v>
      </c>
      <c r="N283" t="str">
        <f t="shared" si="14"/>
        <v>low</v>
      </c>
      <c r="O283">
        <v>2745</v>
      </c>
      <c r="P283" t="s">
        <v>27</v>
      </c>
      <c r="Q283" t="s">
        <v>22</v>
      </c>
    </row>
    <row r="284" spans="1:17" x14ac:dyDescent="0.35">
      <c r="A284">
        <v>283</v>
      </c>
      <c r="B284" t="s">
        <v>804</v>
      </c>
      <c r="C284" t="s">
        <v>805</v>
      </c>
      <c r="D284" t="s">
        <v>1316</v>
      </c>
      <c r="E284">
        <v>39</v>
      </c>
      <c r="F284" t="str">
        <f t="shared" si="12"/>
        <v>adult</v>
      </c>
      <c r="G284" t="s">
        <v>806</v>
      </c>
      <c r="H284" t="str">
        <f t="shared" si="13"/>
        <v>Dec</v>
      </c>
      <c r="I284" t="s">
        <v>26</v>
      </c>
      <c r="J284" t="s">
        <v>18</v>
      </c>
      <c r="K284" t="s">
        <v>62</v>
      </c>
      <c r="L284" t="s">
        <v>66</v>
      </c>
      <c r="M284">
        <v>3</v>
      </c>
      <c r="N284" t="str">
        <f t="shared" si="14"/>
        <v>low</v>
      </c>
      <c r="O284">
        <v>2919</v>
      </c>
      <c r="P284" t="s">
        <v>27</v>
      </c>
      <c r="Q284" t="s">
        <v>22</v>
      </c>
    </row>
    <row r="285" spans="1:17" x14ac:dyDescent="0.35">
      <c r="A285">
        <v>284</v>
      </c>
      <c r="B285" t="s">
        <v>807</v>
      </c>
      <c r="C285" t="s">
        <v>808</v>
      </c>
      <c r="D285" t="s">
        <v>1315</v>
      </c>
      <c r="E285">
        <v>23</v>
      </c>
      <c r="F285" t="str">
        <f t="shared" si="12"/>
        <v>teen</v>
      </c>
      <c r="G285" t="s">
        <v>544</v>
      </c>
      <c r="H285" t="str">
        <f t="shared" si="13"/>
        <v>Aug</v>
      </c>
      <c r="I285" t="s">
        <v>17</v>
      </c>
      <c r="J285" t="s">
        <v>56</v>
      </c>
      <c r="K285" t="s">
        <v>49</v>
      </c>
      <c r="L285" t="s">
        <v>39</v>
      </c>
      <c r="M285">
        <v>2</v>
      </c>
      <c r="N285" t="str">
        <f t="shared" si="14"/>
        <v>high</v>
      </c>
      <c r="O285">
        <v>4158</v>
      </c>
      <c r="P285" t="s">
        <v>79</v>
      </c>
      <c r="Q285" t="s">
        <v>80</v>
      </c>
    </row>
    <row r="286" spans="1:17" x14ac:dyDescent="0.35">
      <c r="A286">
        <v>285</v>
      </c>
      <c r="B286" t="s">
        <v>809</v>
      </c>
      <c r="C286" t="s">
        <v>810</v>
      </c>
      <c r="D286" t="s">
        <v>1316</v>
      </c>
      <c r="E286">
        <v>46</v>
      </c>
      <c r="F286" t="str">
        <f t="shared" si="12"/>
        <v>senior</v>
      </c>
      <c r="G286" t="s">
        <v>811</v>
      </c>
      <c r="H286" t="str">
        <f t="shared" si="13"/>
        <v>May</v>
      </c>
      <c r="I286" t="s">
        <v>31</v>
      </c>
      <c r="J286" t="s">
        <v>37</v>
      </c>
      <c r="K286" t="s">
        <v>38</v>
      </c>
      <c r="L286" t="s">
        <v>20</v>
      </c>
      <c r="M286">
        <v>1</v>
      </c>
      <c r="N286" t="str">
        <f t="shared" si="14"/>
        <v>low</v>
      </c>
      <c r="O286">
        <v>1384</v>
      </c>
      <c r="P286" t="s">
        <v>40</v>
      </c>
      <c r="Q286" t="s">
        <v>22</v>
      </c>
    </row>
    <row r="287" spans="1:17" x14ac:dyDescent="0.35">
      <c r="A287">
        <v>286</v>
      </c>
      <c r="B287" t="s">
        <v>812</v>
      </c>
      <c r="C287" t="s">
        <v>813</v>
      </c>
      <c r="D287" t="s">
        <v>1315</v>
      </c>
      <c r="E287">
        <v>52</v>
      </c>
      <c r="F287" t="str">
        <f t="shared" si="12"/>
        <v>senior</v>
      </c>
      <c r="G287" t="s">
        <v>331</v>
      </c>
      <c r="H287" t="str">
        <f t="shared" si="13"/>
        <v>Aug</v>
      </c>
      <c r="I287" t="s">
        <v>31</v>
      </c>
      <c r="J287" t="s">
        <v>37</v>
      </c>
      <c r="K287" t="s">
        <v>19</v>
      </c>
      <c r="L287" t="s">
        <v>20</v>
      </c>
      <c r="M287">
        <v>1</v>
      </c>
      <c r="N287" t="str">
        <f t="shared" si="14"/>
        <v>low</v>
      </c>
      <c r="O287">
        <v>2975</v>
      </c>
      <c r="P287" t="s">
        <v>44</v>
      </c>
      <c r="Q287" t="s">
        <v>45</v>
      </c>
    </row>
    <row r="288" spans="1:17" x14ac:dyDescent="0.35">
      <c r="A288">
        <v>287</v>
      </c>
      <c r="B288" t="s">
        <v>814</v>
      </c>
      <c r="C288" t="s">
        <v>815</v>
      </c>
      <c r="D288" t="s">
        <v>1316</v>
      </c>
      <c r="E288">
        <v>32</v>
      </c>
      <c r="F288" t="str">
        <f t="shared" si="12"/>
        <v>adult</v>
      </c>
      <c r="G288" t="s">
        <v>816</v>
      </c>
      <c r="H288" t="str">
        <f t="shared" si="13"/>
        <v>Oct</v>
      </c>
      <c r="I288" t="s">
        <v>17</v>
      </c>
      <c r="J288" t="s">
        <v>56</v>
      </c>
      <c r="K288" t="s">
        <v>62</v>
      </c>
      <c r="L288" t="s">
        <v>39</v>
      </c>
      <c r="M288">
        <v>2</v>
      </c>
      <c r="N288" t="str">
        <f t="shared" si="14"/>
        <v>low</v>
      </c>
      <c r="O288">
        <v>2250</v>
      </c>
      <c r="P288" t="s">
        <v>27</v>
      </c>
      <c r="Q288" t="s">
        <v>22</v>
      </c>
    </row>
    <row r="289" spans="1:17" x14ac:dyDescent="0.35">
      <c r="A289">
        <v>288</v>
      </c>
      <c r="B289" t="s">
        <v>817</v>
      </c>
      <c r="C289" t="s">
        <v>818</v>
      </c>
      <c r="D289" t="s">
        <v>1316</v>
      </c>
      <c r="E289">
        <v>27</v>
      </c>
      <c r="F289" t="str">
        <f t="shared" si="12"/>
        <v>adult</v>
      </c>
      <c r="G289" t="s">
        <v>541</v>
      </c>
      <c r="H289" t="str">
        <f t="shared" si="13"/>
        <v>Oct</v>
      </c>
      <c r="I289" t="s">
        <v>31</v>
      </c>
      <c r="J289" t="s">
        <v>37</v>
      </c>
      <c r="K289" t="s">
        <v>49</v>
      </c>
      <c r="L289" t="s">
        <v>20</v>
      </c>
      <c r="M289">
        <v>2</v>
      </c>
      <c r="N289" t="str">
        <f t="shared" si="14"/>
        <v>high</v>
      </c>
      <c r="O289">
        <v>3132</v>
      </c>
      <c r="P289" t="s">
        <v>40</v>
      </c>
      <c r="Q289" t="s">
        <v>22</v>
      </c>
    </row>
    <row r="290" spans="1:17" x14ac:dyDescent="0.35">
      <c r="A290">
        <v>289</v>
      </c>
      <c r="B290" t="s">
        <v>819</v>
      </c>
      <c r="C290" t="s">
        <v>820</v>
      </c>
      <c r="D290" t="s">
        <v>1315</v>
      </c>
      <c r="E290">
        <v>23</v>
      </c>
      <c r="F290" t="str">
        <f t="shared" si="12"/>
        <v>teen</v>
      </c>
      <c r="G290" t="s">
        <v>696</v>
      </c>
      <c r="H290" t="str">
        <f t="shared" si="13"/>
        <v>Oct</v>
      </c>
      <c r="I290" t="s">
        <v>26</v>
      </c>
      <c r="J290" t="s">
        <v>56</v>
      </c>
      <c r="K290" t="s">
        <v>62</v>
      </c>
      <c r="L290" t="s">
        <v>20</v>
      </c>
      <c r="M290">
        <v>5</v>
      </c>
      <c r="N290" t="str">
        <f t="shared" si="14"/>
        <v>high</v>
      </c>
      <c r="O290">
        <v>6000</v>
      </c>
      <c r="P290" t="s">
        <v>79</v>
      </c>
      <c r="Q290" t="s">
        <v>80</v>
      </c>
    </row>
    <row r="291" spans="1:17" x14ac:dyDescent="0.35">
      <c r="A291">
        <v>290</v>
      </c>
      <c r="B291" t="s">
        <v>821</v>
      </c>
      <c r="C291" t="s">
        <v>822</v>
      </c>
      <c r="D291" t="s">
        <v>1316</v>
      </c>
      <c r="E291">
        <v>32</v>
      </c>
      <c r="F291" t="str">
        <f t="shared" si="12"/>
        <v>adult</v>
      </c>
      <c r="G291" t="s">
        <v>823</v>
      </c>
      <c r="H291" t="str">
        <f t="shared" si="13"/>
        <v>Jan</v>
      </c>
      <c r="I291" t="s">
        <v>26</v>
      </c>
      <c r="J291" t="s">
        <v>18</v>
      </c>
      <c r="K291" t="s">
        <v>38</v>
      </c>
      <c r="L291" t="s">
        <v>39</v>
      </c>
      <c r="M291">
        <v>1</v>
      </c>
      <c r="N291" t="str">
        <f t="shared" si="14"/>
        <v>low</v>
      </c>
      <c r="O291">
        <v>827</v>
      </c>
      <c r="P291" t="s">
        <v>40</v>
      </c>
      <c r="Q291" t="s">
        <v>22</v>
      </c>
    </row>
    <row r="292" spans="1:17" x14ac:dyDescent="0.35">
      <c r="A292">
        <v>291</v>
      </c>
      <c r="B292" t="s">
        <v>824</v>
      </c>
      <c r="C292" t="s">
        <v>825</v>
      </c>
      <c r="D292" t="s">
        <v>1315</v>
      </c>
      <c r="E292">
        <v>58</v>
      </c>
      <c r="F292" t="str">
        <f t="shared" si="12"/>
        <v>senior</v>
      </c>
      <c r="G292" t="s">
        <v>388</v>
      </c>
      <c r="H292" t="str">
        <f t="shared" si="13"/>
        <v>Jun</v>
      </c>
      <c r="I292" t="s">
        <v>26</v>
      </c>
      <c r="J292" t="s">
        <v>37</v>
      </c>
      <c r="K292" t="s">
        <v>49</v>
      </c>
      <c r="L292" t="s">
        <v>39</v>
      </c>
      <c r="M292">
        <v>3</v>
      </c>
      <c r="N292" t="str">
        <f t="shared" si="14"/>
        <v>high</v>
      </c>
      <c r="O292">
        <v>8496</v>
      </c>
      <c r="P292" t="s">
        <v>99</v>
      </c>
      <c r="Q292" t="s">
        <v>100</v>
      </c>
    </row>
    <row r="293" spans="1:17" x14ac:dyDescent="0.35">
      <c r="A293">
        <v>292</v>
      </c>
      <c r="B293" t="s">
        <v>826</v>
      </c>
      <c r="C293" t="s">
        <v>827</v>
      </c>
      <c r="D293" t="s">
        <v>1316</v>
      </c>
      <c r="E293">
        <v>52</v>
      </c>
      <c r="F293" t="str">
        <f t="shared" si="12"/>
        <v>senior</v>
      </c>
      <c r="G293" t="s">
        <v>828</v>
      </c>
      <c r="H293" t="str">
        <f t="shared" si="13"/>
        <v>May</v>
      </c>
      <c r="I293" t="s">
        <v>26</v>
      </c>
      <c r="J293" t="s">
        <v>56</v>
      </c>
      <c r="K293" t="s">
        <v>19</v>
      </c>
      <c r="L293" t="s">
        <v>20</v>
      </c>
      <c r="M293">
        <v>3</v>
      </c>
      <c r="N293" t="str">
        <f t="shared" si="14"/>
        <v>high</v>
      </c>
      <c r="O293">
        <v>8292</v>
      </c>
      <c r="P293" t="s">
        <v>79</v>
      </c>
      <c r="Q293" t="s">
        <v>80</v>
      </c>
    </row>
    <row r="294" spans="1:17" x14ac:dyDescent="0.35">
      <c r="A294">
        <v>293</v>
      </c>
      <c r="B294" t="s">
        <v>829</v>
      </c>
      <c r="C294" t="s">
        <v>830</v>
      </c>
      <c r="D294" t="s">
        <v>1315</v>
      </c>
      <c r="E294">
        <v>51</v>
      </c>
      <c r="F294" t="str">
        <f t="shared" si="12"/>
        <v>senior</v>
      </c>
      <c r="G294" t="s">
        <v>831</v>
      </c>
      <c r="H294" t="str">
        <f t="shared" si="13"/>
        <v>Mar</v>
      </c>
      <c r="I294" t="s">
        <v>31</v>
      </c>
      <c r="J294" t="s">
        <v>18</v>
      </c>
      <c r="K294" t="s">
        <v>49</v>
      </c>
      <c r="L294" t="s">
        <v>20</v>
      </c>
      <c r="M294">
        <v>4</v>
      </c>
      <c r="N294" t="str">
        <f t="shared" si="14"/>
        <v>high</v>
      </c>
      <c r="O294">
        <v>7984</v>
      </c>
      <c r="P294" t="s">
        <v>40</v>
      </c>
      <c r="Q294" t="s">
        <v>22</v>
      </c>
    </row>
    <row r="295" spans="1:17" x14ac:dyDescent="0.35">
      <c r="A295">
        <v>294</v>
      </c>
      <c r="B295" t="s">
        <v>832</v>
      </c>
      <c r="C295" t="s">
        <v>833</v>
      </c>
      <c r="D295" t="s">
        <v>1316</v>
      </c>
      <c r="E295">
        <v>58</v>
      </c>
      <c r="F295" t="str">
        <f t="shared" si="12"/>
        <v>senior</v>
      </c>
      <c r="G295" t="s">
        <v>834</v>
      </c>
      <c r="H295" t="str">
        <f t="shared" si="13"/>
        <v>Jun</v>
      </c>
      <c r="I295" t="s">
        <v>17</v>
      </c>
      <c r="J295" t="s">
        <v>37</v>
      </c>
      <c r="K295" t="s">
        <v>19</v>
      </c>
      <c r="L295" t="s">
        <v>66</v>
      </c>
      <c r="M295">
        <v>4</v>
      </c>
      <c r="N295" t="str">
        <f t="shared" si="14"/>
        <v>high</v>
      </c>
      <c r="O295">
        <v>6400</v>
      </c>
      <c r="P295" t="s">
        <v>33</v>
      </c>
      <c r="Q295" t="s">
        <v>33</v>
      </c>
    </row>
    <row r="296" spans="1:17" x14ac:dyDescent="0.35">
      <c r="A296">
        <v>295</v>
      </c>
      <c r="B296" t="s">
        <v>835</v>
      </c>
      <c r="C296" t="s">
        <v>836</v>
      </c>
      <c r="D296" t="s">
        <v>1316</v>
      </c>
      <c r="E296">
        <v>26</v>
      </c>
      <c r="F296" t="str">
        <f t="shared" si="12"/>
        <v>adult</v>
      </c>
      <c r="G296" t="s">
        <v>837</v>
      </c>
      <c r="H296" t="str">
        <f t="shared" si="13"/>
        <v>Dec</v>
      </c>
      <c r="I296" t="s">
        <v>26</v>
      </c>
      <c r="J296" t="s">
        <v>37</v>
      </c>
      <c r="K296" t="s">
        <v>38</v>
      </c>
      <c r="L296" t="s">
        <v>39</v>
      </c>
      <c r="M296">
        <v>1</v>
      </c>
      <c r="N296" t="str">
        <f t="shared" si="14"/>
        <v>low</v>
      </c>
      <c r="O296">
        <v>2552</v>
      </c>
      <c r="P296" t="s">
        <v>99</v>
      </c>
      <c r="Q296" t="s">
        <v>100</v>
      </c>
    </row>
    <row r="297" spans="1:17" x14ac:dyDescent="0.35">
      <c r="A297">
        <v>296</v>
      </c>
      <c r="B297" t="s">
        <v>838</v>
      </c>
      <c r="C297" t="s">
        <v>839</v>
      </c>
      <c r="D297" t="s">
        <v>1315</v>
      </c>
      <c r="E297">
        <v>26</v>
      </c>
      <c r="F297" t="str">
        <f t="shared" si="12"/>
        <v>adult</v>
      </c>
      <c r="G297" t="s">
        <v>840</v>
      </c>
      <c r="H297" t="str">
        <f t="shared" si="13"/>
        <v>Nov</v>
      </c>
      <c r="I297" t="s">
        <v>26</v>
      </c>
      <c r="J297" t="s">
        <v>37</v>
      </c>
      <c r="K297" t="s">
        <v>38</v>
      </c>
      <c r="L297" t="s">
        <v>32</v>
      </c>
      <c r="M297">
        <v>5</v>
      </c>
      <c r="N297" t="str">
        <f t="shared" si="14"/>
        <v>high</v>
      </c>
      <c r="O297">
        <v>12690</v>
      </c>
      <c r="P297" t="s">
        <v>79</v>
      </c>
      <c r="Q297" t="s">
        <v>80</v>
      </c>
    </row>
    <row r="298" spans="1:17" x14ac:dyDescent="0.35">
      <c r="A298">
        <v>297</v>
      </c>
      <c r="B298" t="s">
        <v>841</v>
      </c>
      <c r="C298" t="s">
        <v>842</v>
      </c>
      <c r="D298" t="s">
        <v>1316</v>
      </c>
      <c r="E298">
        <v>46</v>
      </c>
      <c r="F298" t="str">
        <f t="shared" si="12"/>
        <v>senior</v>
      </c>
      <c r="G298" t="s">
        <v>843</v>
      </c>
      <c r="H298" t="str">
        <f t="shared" si="13"/>
        <v>Jul</v>
      </c>
      <c r="I298" t="s">
        <v>31</v>
      </c>
      <c r="J298" t="s">
        <v>18</v>
      </c>
      <c r="K298" t="s">
        <v>19</v>
      </c>
      <c r="L298" t="s">
        <v>66</v>
      </c>
      <c r="M298">
        <v>3</v>
      </c>
      <c r="N298" t="str">
        <f t="shared" si="14"/>
        <v>high</v>
      </c>
      <c r="O298">
        <v>5871</v>
      </c>
      <c r="P298" t="s">
        <v>57</v>
      </c>
      <c r="Q298" t="s">
        <v>58</v>
      </c>
    </row>
    <row r="299" spans="1:17" x14ac:dyDescent="0.35">
      <c r="A299">
        <v>298</v>
      </c>
      <c r="B299" t="s">
        <v>844</v>
      </c>
      <c r="C299" t="s">
        <v>845</v>
      </c>
      <c r="D299" t="s">
        <v>1316</v>
      </c>
      <c r="E299">
        <v>55</v>
      </c>
      <c r="F299" t="str">
        <f t="shared" si="12"/>
        <v>senior</v>
      </c>
      <c r="G299" t="s">
        <v>347</v>
      </c>
      <c r="H299" t="str">
        <f t="shared" si="13"/>
        <v>Aug</v>
      </c>
      <c r="I299" t="s">
        <v>17</v>
      </c>
      <c r="J299" t="s">
        <v>18</v>
      </c>
      <c r="K299" t="s">
        <v>62</v>
      </c>
      <c r="L299" t="s">
        <v>39</v>
      </c>
      <c r="M299">
        <v>2</v>
      </c>
      <c r="N299" t="str">
        <f t="shared" si="14"/>
        <v>high</v>
      </c>
      <c r="O299">
        <v>4672</v>
      </c>
      <c r="P299" t="s">
        <v>21</v>
      </c>
      <c r="Q299" t="s">
        <v>22</v>
      </c>
    </row>
    <row r="300" spans="1:17" x14ac:dyDescent="0.35">
      <c r="A300">
        <v>299</v>
      </c>
      <c r="B300" t="s">
        <v>846</v>
      </c>
      <c r="C300" t="s">
        <v>847</v>
      </c>
      <c r="D300" t="s">
        <v>1315</v>
      </c>
      <c r="E300">
        <v>18</v>
      </c>
      <c r="F300" t="str">
        <f t="shared" si="12"/>
        <v>teen</v>
      </c>
      <c r="G300" t="s">
        <v>653</v>
      </c>
      <c r="H300" t="str">
        <f t="shared" si="13"/>
        <v>Jun</v>
      </c>
      <c r="I300" t="s">
        <v>17</v>
      </c>
      <c r="J300" t="s">
        <v>18</v>
      </c>
      <c r="K300" t="s">
        <v>19</v>
      </c>
      <c r="L300" t="s">
        <v>20</v>
      </c>
      <c r="M300">
        <v>2</v>
      </c>
      <c r="N300" t="str">
        <f t="shared" si="14"/>
        <v>high</v>
      </c>
      <c r="O300">
        <v>5042</v>
      </c>
      <c r="P300" t="s">
        <v>44</v>
      </c>
      <c r="Q300" t="s">
        <v>45</v>
      </c>
    </row>
    <row r="301" spans="1:17" x14ac:dyDescent="0.35">
      <c r="A301">
        <v>300</v>
      </c>
      <c r="B301" t="s">
        <v>848</v>
      </c>
      <c r="C301" t="s">
        <v>849</v>
      </c>
      <c r="D301" t="s">
        <v>1316</v>
      </c>
      <c r="E301">
        <v>24</v>
      </c>
      <c r="F301" t="str">
        <f t="shared" si="12"/>
        <v>teen</v>
      </c>
      <c r="G301" t="s">
        <v>850</v>
      </c>
      <c r="H301" t="str">
        <f t="shared" si="13"/>
        <v>Jul</v>
      </c>
      <c r="I301" t="s">
        <v>31</v>
      </c>
      <c r="J301" t="s">
        <v>18</v>
      </c>
      <c r="K301" t="s">
        <v>19</v>
      </c>
      <c r="L301" t="s">
        <v>39</v>
      </c>
      <c r="M301">
        <v>2</v>
      </c>
      <c r="N301" t="str">
        <f t="shared" si="14"/>
        <v>high</v>
      </c>
      <c r="O301">
        <v>5348</v>
      </c>
      <c r="P301" t="s">
        <v>79</v>
      </c>
      <c r="Q301" t="s">
        <v>80</v>
      </c>
    </row>
    <row r="302" spans="1:17" x14ac:dyDescent="0.35">
      <c r="A302">
        <v>301</v>
      </c>
      <c r="B302" t="s">
        <v>851</v>
      </c>
      <c r="C302" t="s">
        <v>852</v>
      </c>
      <c r="D302" t="s">
        <v>1315</v>
      </c>
      <c r="E302">
        <v>57</v>
      </c>
      <c r="F302" t="str">
        <f t="shared" si="12"/>
        <v>senior</v>
      </c>
      <c r="G302" t="s">
        <v>357</v>
      </c>
      <c r="H302" t="str">
        <f t="shared" si="13"/>
        <v>Jan</v>
      </c>
      <c r="I302" t="s">
        <v>26</v>
      </c>
      <c r="J302" t="s">
        <v>18</v>
      </c>
      <c r="K302" t="s">
        <v>19</v>
      </c>
      <c r="L302" t="s">
        <v>20</v>
      </c>
      <c r="M302">
        <v>1</v>
      </c>
      <c r="N302" t="str">
        <f t="shared" si="14"/>
        <v>low</v>
      </c>
      <c r="O302">
        <v>1893</v>
      </c>
      <c r="P302" t="s">
        <v>57</v>
      </c>
      <c r="Q302" t="s">
        <v>58</v>
      </c>
    </row>
    <row r="303" spans="1:17" x14ac:dyDescent="0.35">
      <c r="A303">
        <v>302</v>
      </c>
      <c r="B303" t="s">
        <v>853</v>
      </c>
      <c r="C303" t="s">
        <v>854</v>
      </c>
      <c r="D303" t="s">
        <v>1316</v>
      </c>
      <c r="E303">
        <v>27</v>
      </c>
      <c r="F303" t="str">
        <f t="shared" si="12"/>
        <v>adult</v>
      </c>
      <c r="G303" t="s">
        <v>855</v>
      </c>
      <c r="H303" t="str">
        <f t="shared" si="13"/>
        <v>Oct</v>
      </c>
      <c r="I303" t="s">
        <v>31</v>
      </c>
      <c r="J303" t="s">
        <v>56</v>
      </c>
      <c r="K303" t="s">
        <v>19</v>
      </c>
      <c r="L303" t="s">
        <v>66</v>
      </c>
      <c r="M303">
        <v>3</v>
      </c>
      <c r="N303" t="str">
        <f t="shared" si="14"/>
        <v>high</v>
      </c>
      <c r="O303">
        <v>4212</v>
      </c>
      <c r="P303" t="s">
        <v>21</v>
      </c>
      <c r="Q303" t="s">
        <v>22</v>
      </c>
    </row>
    <row r="304" spans="1:17" x14ac:dyDescent="0.35">
      <c r="A304">
        <v>303</v>
      </c>
      <c r="B304" t="s">
        <v>856</v>
      </c>
      <c r="C304" t="s">
        <v>857</v>
      </c>
      <c r="D304" t="s">
        <v>1315</v>
      </c>
      <c r="E304">
        <v>27</v>
      </c>
      <c r="F304" t="str">
        <f t="shared" si="12"/>
        <v>adult</v>
      </c>
      <c r="G304" t="s">
        <v>858</v>
      </c>
      <c r="H304" t="str">
        <f t="shared" si="13"/>
        <v>Feb</v>
      </c>
      <c r="I304" t="s">
        <v>26</v>
      </c>
      <c r="J304" t="s">
        <v>37</v>
      </c>
      <c r="K304" t="s">
        <v>38</v>
      </c>
      <c r="L304" t="s">
        <v>32</v>
      </c>
      <c r="M304">
        <v>3</v>
      </c>
      <c r="N304" t="str">
        <f t="shared" si="14"/>
        <v>high</v>
      </c>
      <c r="O304">
        <v>7320</v>
      </c>
      <c r="P304" t="s">
        <v>27</v>
      </c>
      <c r="Q304" t="s">
        <v>22</v>
      </c>
    </row>
    <row r="305" spans="1:17" x14ac:dyDescent="0.35">
      <c r="A305">
        <v>304</v>
      </c>
      <c r="B305" t="s">
        <v>859</v>
      </c>
      <c r="C305" t="s">
        <v>860</v>
      </c>
      <c r="D305" t="s">
        <v>1316</v>
      </c>
      <c r="E305">
        <v>19</v>
      </c>
      <c r="F305" t="str">
        <f t="shared" si="12"/>
        <v>teen</v>
      </c>
      <c r="G305" t="s">
        <v>861</v>
      </c>
      <c r="H305" t="str">
        <f t="shared" si="13"/>
        <v>Aug</v>
      </c>
      <c r="I305" t="s">
        <v>31</v>
      </c>
      <c r="J305" t="s">
        <v>37</v>
      </c>
      <c r="K305" t="s">
        <v>49</v>
      </c>
      <c r="L305" t="s">
        <v>32</v>
      </c>
      <c r="M305">
        <v>2</v>
      </c>
      <c r="N305" t="str">
        <f t="shared" si="14"/>
        <v>low</v>
      </c>
      <c r="O305">
        <v>1988</v>
      </c>
      <c r="P305" t="s">
        <v>57</v>
      </c>
      <c r="Q305" t="s">
        <v>58</v>
      </c>
    </row>
    <row r="306" spans="1:17" x14ac:dyDescent="0.35">
      <c r="A306">
        <v>305</v>
      </c>
      <c r="B306" t="s">
        <v>862</v>
      </c>
      <c r="C306" t="s">
        <v>863</v>
      </c>
      <c r="D306" t="s">
        <v>1315</v>
      </c>
      <c r="E306">
        <v>34</v>
      </c>
      <c r="F306" t="str">
        <f t="shared" si="12"/>
        <v>adult</v>
      </c>
      <c r="G306" t="s">
        <v>289</v>
      </c>
      <c r="H306" t="str">
        <f t="shared" si="13"/>
        <v>Nov</v>
      </c>
      <c r="I306" t="s">
        <v>26</v>
      </c>
      <c r="J306" t="s">
        <v>37</v>
      </c>
      <c r="K306" t="s">
        <v>62</v>
      </c>
      <c r="L306" t="s">
        <v>66</v>
      </c>
      <c r="M306">
        <v>3</v>
      </c>
      <c r="N306" t="str">
        <f t="shared" si="14"/>
        <v>low</v>
      </c>
      <c r="O306">
        <v>2493</v>
      </c>
      <c r="P306" t="s">
        <v>33</v>
      </c>
      <c r="Q306" t="s">
        <v>33</v>
      </c>
    </row>
    <row r="307" spans="1:17" x14ac:dyDescent="0.35">
      <c r="A307">
        <v>306</v>
      </c>
      <c r="B307" t="s">
        <v>864</v>
      </c>
      <c r="C307" t="s">
        <v>865</v>
      </c>
      <c r="D307" t="s">
        <v>1316</v>
      </c>
      <c r="E307">
        <v>47</v>
      </c>
      <c r="F307" t="str">
        <f t="shared" si="12"/>
        <v>senior</v>
      </c>
      <c r="G307" t="s">
        <v>866</v>
      </c>
      <c r="H307" t="str">
        <f t="shared" si="13"/>
        <v>Dec</v>
      </c>
      <c r="I307" t="s">
        <v>31</v>
      </c>
      <c r="J307" t="s">
        <v>37</v>
      </c>
      <c r="K307" t="s">
        <v>38</v>
      </c>
      <c r="L307" t="s">
        <v>39</v>
      </c>
      <c r="M307">
        <v>3</v>
      </c>
      <c r="N307" t="str">
        <f t="shared" si="14"/>
        <v>high</v>
      </c>
      <c r="O307">
        <v>7185</v>
      </c>
      <c r="P307" t="s">
        <v>99</v>
      </c>
      <c r="Q307" t="s">
        <v>100</v>
      </c>
    </row>
    <row r="308" spans="1:17" x14ac:dyDescent="0.35">
      <c r="A308">
        <v>307</v>
      </c>
      <c r="B308" t="s">
        <v>867</v>
      </c>
      <c r="C308" t="s">
        <v>868</v>
      </c>
      <c r="D308" t="s">
        <v>1316</v>
      </c>
      <c r="E308">
        <v>33</v>
      </c>
      <c r="F308" t="str">
        <f t="shared" si="12"/>
        <v>adult</v>
      </c>
      <c r="G308" t="s">
        <v>776</v>
      </c>
      <c r="H308" t="str">
        <f t="shared" si="13"/>
        <v>Jan</v>
      </c>
      <c r="I308" t="s">
        <v>31</v>
      </c>
      <c r="J308" t="s">
        <v>18</v>
      </c>
      <c r="K308" t="s">
        <v>49</v>
      </c>
      <c r="L308" t="s">
        <v>20</v>
      </c>
      <c r="M308">
        <v>4</v>
      </c>
      <c r="N308" t="str">
        <f t="shared" si="14"/>
        <v>high</v>
      </c>
      <c r="O308">
        <v>5460</v>
      </c>
      <c r="P308" t="s">
        <v>79</v>
      </c>
      <c r="Q308" t="s">
        <v>80</v>
      </c>
    </row>
    <row r="309" spans="1:17" x14ac:dyDescent="0.35">
      <c r="A309">
        <v>308</v>
      </c>
      <c r="B309" t="s">
        <v>869</v>
      </c>
      <c r="C309" t="s">
        <v>870</v>
      </c>
      <c r="D309" t="s">
        <v>1316</v>
      </c>
      <c r="E309">
        <v>45</v>
      </c>
      <c r="F309" t="str">
        <f t="shared" si="12"/>
        <v>adult</v>
      </c>
      <c r="G309" t="s">
        <v>871</v>
      </c>
      <c r="H309" t="str">
        <f t="shared" si="13"/>
        <v>May</v>
      </c>
      <c r="I309" t="s">
        <v>26</v>
      </c>
      <c r="J309" t="s">
        <v>56</v>
      </c>
      <c r="K309" t="s">
        <v>49</v>
      </c>
      <c r="L309" t="s">
        <v>20</v>
      </c>
      <c r="M309">
        <v>3</v>
      </c>
      <c r="N309" t="str">
        <f t="shared" si="14"/>
        <v>high</v>
      </c>
      <c r="O309">
        <v>6876</v>
      </c>
      <c r="P309" t="s">
        <v>21</v>
      </c>
      <c r="Q309" t="s">
        <v>22</v>
      </c>
    </row>
    <row r="310" spans="1:17" x14ac:dyDescent="0.35">
      <c r="A310">
        <v>309</v>
      </c>
      <c r="B310" t="s">
        <v>872</v>
      </c>
      <c r="C310" t="s">
        <v>873</v>
      </c>
      <c r="D310" t="s">
        <v>1316</v>
      </c>
      <c r="E310">
        <v>21</v>
      </c>
      <c r="F310" t="str">
        <f t="shared" si="12"/>
        <v>teen</v>
      </c>
      <c r="G310" t="s">
        <v>450</v>
      </c>
      <c r="H310" t="str">
        <f t="shared" si="13"/>
        <v>Nov</v>
      </c>
      <c r="I310" t="s">
        <v>26</v>
      </c>
      <c r="J310" t="s">
        <v>18</v>
      </c>
      <c r="K310" t="s">
        <v>49</v>
      </c>
      <c r="L310" t="s">
        <v>20</v>
      </c>
      <c r="M310">
        <v>3</v>
      </c>
      <c r="N310" t="str">
        <f t="shared" si="14"/>
        <v>low</v>
      </c>
      <c r="O310">
        <v>1611</v>
      </c>
      <c r="P310" t="s">
        <v>27</v>
      </c>
      <c r="Q310" t="s">
        <v>22</v>
      </c>
    </row>
    <row r="311" spans="1:17" x14ac:dyDescent="0.35">
      <c r="A311">
        <v>310</v>
      </c>
      <c r="B311" t="s">
        <v>874</v>
      </c>
      <c r="C311" t="s">
        <v>875</v>
      </c>
      <c r="D311" t="s">
        <v>1315</v>
      </c>
      <c r="E311">
        <v>38</v>
      </c>
      <c r="F311" t="str">
        <f t="shared" si="12"/>
        <v>adult</v>
      </c>
      <c r="G311" t="s">
        <v>876</v>
      </c>
      <c r="H311" t="str">
        <f t="shared" si="13"/>
        <v>May</v>
      </c>
      <c r="I311" t="s">
        <v>26</v>
      </c>
      <c r="J311" t="s">
        <v>56</v>
      </c>
      <c r="K311" t="s">
        <v>19</v>
      </c>
      <c r="L311" t="s">
        <v>20</v>
      </c>
      <c r="M311">
        <v>2</v>
      </c>
      <c r="N311" t="str">
        <f t="shared" si="14"/>
        <v>low</v>
      </c>
      <c r="O311">
        <v>2218</v>
      </c>
      <c r="P311" t="s">
        <v>44</v>
      </c>
      <c r="Q311" t="s">
        <v>45</v>
      </c>
    </row>
    <row r="312" spans="1:17" x14ac:dyDescent="0.35">
      <c r="A312">
        <v>311</v>
      </c>
      <c r="B312" t="s">
        <v>877</v>
      </c>
      <c r="C312" t="s">
        <v>878</v>
      </c>
      <c r="D312" t="s">
        <v>1316</v>
      </c>
      <c r="E312">
        <v>50</v>
      </c>
      <c r="F312" t="str">
        <f t="shared" si="12"/>
        <v>senior</v>
      </c>
      <c r="G312" t="s">
        <v>453</v>
      </c>
      <c r="H312" t="str">
        <f t="shared" si="13"/>
        <v>Mar</v>
      </c>
      <c r="I312" t="s">
        <v>26</v>
      </c>
      <c r="J312" t="s">
        <v>56</v>
      </c>
      <c r="K312" t="s">
        <v>62</v>
      </c>
      <c r="L312" t="s">
        <v>39</v>
      </c>
      <c r="M312">
        <v>4</v>
      </c>
      <c r="N312" t="str">
        <f t="shared" si="14"/>
        <v>high</v>
      </c>
      <c r="O312">
        <v>7792</v>
      </c>
      <c r="P312" t="s">
        <v>57</v>
      </c>
      <c r="Q312" t="s">
        <v>58</v>
      </c>
    </row>
    <row r="313" spans="1:17" x14ac:dyDescent="0.35">
      <c r="A313">
        <v>312</v>
      </c>
      <c r="B313" t="s">
        <v>879</v>
      </c>
      <c r="C313" t="s">
        <v>880</v>
      </c>
      <c r="D313" t="s">
        <v>1315</v>
      </c>
      <c r="E313">
        <v>53</v>
      </c>
      <c r="F313" t="str">
        <f t="shared" si="12"/>
        <v>senior</v>
      </c>
      <c r="G313" t="s">
        <v>881</v>
      </c>
      <c r="H313" t="str">
        <f t="shared" si="13"/>
        <v>Jul</v>
      </c>
      <c r="I313" t="s">
        <v>31</v>
      </c>
      <c r="J313" t="s">
        <v>56</v>
      </c>
      <c r="K313" t="s">
        <v>49</v>
      </c>
      <c r="L313" t="s">
        <v>39</v>
      </c>
      <c r="M313">
        <v>1</v>
      </c>
      <c r="N313" t="str">
        <f t="shared" si="14"/>
        <v>low</v>
      </c>
      <c r="O313">
        <v>1397</v>
      </c>
      <c r="P313" t="s">
        <v>21</v>
      </c>
      <c r="Q313" t="s">
        <v>22</v>
      </c>
    </row>
    <row r="314" spans="1:17" x14ac:dyDescent="0.35">
      <c r="A314">
        <v>313</v>
      </c>
      <c r="B314" t="s">
        <v>882</v>
      </c>
      <c r="C314" t="s">
        <v>883</v>
      </c>
      <c r="D314" t="s">
        <v>1315</v>
      </c>
      <c r="E314">
        <v>28</v>
      </c>
      <c r="F314" t="str">
        <f t="shared" si="12"/>
        <v>adult</v>
      </c>
      <c r="G314" t="s">
        <v>336</v>
      </c>
      <c r="H314" t="str">
        <f t="shared" si="13"/>
        <v>Feb</v>
      </c>
      <c r="I314" t="s">
        <v>31</v>
      </c>
      <c r="J314" t="s">
        <v>56</v>
      </c>
      <c r="K314" t="s">
        <v>19</v>
      </c>
      <c r="L314" t="s">
        <v>32</v>
      </c>
      <c r="M314">
        <v>4</v>
      </c>
      <c r="N314" t="str">
        <f t="shared" si="14"/>
        <v>high</v>
      </c>
      <c r="O314">
        <v>4740</v>
      </c>
      <c r="P314" t="s">
        <v>33</v>
      </c>
      <c r="Q314" t="s">
        <v>33</v>
      </c>
    </row>
    <row r="315" spans="1:17" x14ac:dyDescent="0.35">
      <c r="A315">
        <v>314</v>
      </c>
      <c r="B315" t="s">
        <v>884</v>
      </c>
      <c r="C315" t="s">
        <v>885</v>
      </c>
      <c r="D315" t="s">
        <v>1315</v>
      </c>
      <c r="E315">
        <v>50</v>
      </c>
      <c r="F315" t="str">
        <f t="shared" si="12"/>
        <v>senior</v>
      </c>
      <c r="G315" t="s">
        <v>886</v>
      </c>
      <c r="H315" t="str">
        <f t="shared" si="13"/>
        <v>Apr</v>
      </c>
      <c r="I315" t="s">
        <v>17</v>
      </c>
      <c r="J315" t="s">
        <v>37</v>
      </c>
      <c r="K315" t="s">
        <v>49</v>
      </c>
      <c r="L315" t="s">
        <v>66</v>
      </c>
      <c r="M315">
        <v>1</v>
      </c>
      <c r="N315" t="str">
        <f t="shared" si="14"/>
        <v>low</v>
      </c>
      <c r="O315">
        <v>2008</v>
      </c>
      <c r="P315" t="s">
        <v>79</v>
      </c>
      <c r="Q315" t="s">
        <v>80</v>
      </c>
    </row>
    <row r="316" spans="1:17" x14ac:dyDescent="0.35">
      <c r="A316">
        <v>315</v>
      </c>
      <c r="B316" t="s">
        <v>887</v>
      </c>
      <c r="C316" t="s">
        <v>888</v>
      </c>
      <c r="D316" t="s">
        <v>1316</v>
      </c>
      <c r="E316">
        <v>33</v>
      </c>
      <c r="F316" t="str">
        <f t="shared" si="12"/>
        <v>adult</v>
      </c>
      <c r="G316" t="s">
        <v>889</v>
      </c>
      <c r="H316" t="str">
        <f t="shared" si="13"/>
        <v>Aug</v>
      </c>
      <c r="I316" t="s">
        <v>26</v>
      </c>
      <c r="J316" t="s">
        <v>18</v>
      </c>
      <c r="K316" t="s">
        <v>62</v>
      </c>
      <c r="L316" t="s">
        <v>32</v>
      </c>
      <c r="M316">
        <v>1</v>
      </c>
      <c r="N316" t="str">
        <f t="shared" si="14"/>
        <v>low</v>
      </c>
      <c r="O316">
        <v>2331</v>
      </c>
      <c r="P316" t="s">
        <v>99</v>
      </c>
      <c r="Q316" t="s">
        <v>100</v>
      </c>
    </row>
    <row r="317" spans="1:17" x14ac:dyDescent="0.35">
      <c r="A317">
        <v>316</v>
      </c>
      <c r="B317" t="s">
        <v>890</v>
      </c>
      <c r="C317" t="s">
        <v>891</v>
      </c>
      <c r="D317" t="s">
        <v>1315</v>
      </c>
      <c r="E317">
        <v>50</v>
      </c>
      <c r="F317" t="str">
        <f t="shared" si="12"/>
        <v>senior</v>
      </c>
      <c r="G317" t="s">
        <v>861</v>
      </c>
      <c r="H317" t="str">
        <f t="shared" si="13"/>
        <v>Aug</v>
      </c>
      <c r="I317" t="s">
        <v>31</v>
      </c>
      <c r="J317" t="s">
        <v>18</v>
      </c>
      <c r="K317" t="s">
        <v>49</v>
      </c>
      <c r="L317" t="s">
        <v>20</v>
      </c>
      <c r="M317">
        <v>2</v>
      </c>
      <c r="N317" t="str">
        <f t="shared" si="14"/>
        <v>high</v>
      </c>
      <c r="O317">
        <v>5056</v>
      </c>
      <c r="P317" t="s">
        <v>21</v>
      </c>
      <c r="Q317" t="s">
        <v>22</v>
      </c>
    </row>
    <row r="318" spans="1:17" x14ac:dyDescent="0.35">
      <c r="A318">
        <v>317</v>
      </c>
      <c r="B318" t="s">
        <v>892</v>
      </c>
      <c r="C318" t="s">
        <v>893</v>
      </c>
      <c r="D318" t="s">
        <v>1315</v>
      </c>
      <c r="E318">
        <v>48</v>
      </c>
      <c r="F318" t="str">
        <f t="shared" si="12"/>
        <v>senior</v>
      </c>
      <c r="G318" t="s">
        <v>894</v>
      </c>
      <c r="H318" t="str">
        <f t="shared" si="13"/>
        <v>Mar</v>
      </c>
      <c r="I318" t="s">
        <v>26</v>
      </c>
      <c r="J318" t="s">
        <v>56</v>
      </c>
      <c r="K318" t="s">
        <v>38</v>
      </c>
      <c r="L318" t="s">
        <v>32</v>
      </c>
      <c r="M318">
        <v>3</v>
      </c>
      <c r="N318" t="str">
        <f t="shared" si="14"/>
        <v>high</v>
      </c>
      <c r="O318">
        <v>3756</v>
      </c>
      <c r="P318" t="s">
        <v>21</v>
      </c>
      <c r="Q318" t="s">
        <v>22</v>
      </c>
    </row>
    <row r="319" spans="1:17" x14ac:dyDescent="0.35">
      <c r="A319">
        <v>318</v>
      </c>
      <c r="B319" t="s">
        <v>895</v>
      </c>
      <c r="C319" t="s">
        <v>896</v>
      </c>
      <c r="D319" t="s">
        <v>1315</v>
      </c>
      <c r="E319">
        <v>42</v>
      </c>
      <c r="F319" t="str">
        <f t="shared" si="12"/>
        <v>adult</v>
      </c>
      <c r="G319" t="s">
        <v>400</v>
      </c>
      <c r="H319" t="str">
        <f t="shared" si="13"/>
        <v>May</v>
      </c>
      <c r="I319" t="s">
        <v>17</v>
      </c>
      <c r="J319" t="s">
        <v>37</v>
      </c>
      <c r="K319" t="s">
        <v>62</v>
      </c>
      <c r="L319" t="s">
        <v>39</v>
      </c>
      <c r="M319">
        <v>2</v>
      </c>
      <c r="N319" t="str">
        <f t="shared" si="14"/>
        <v>low</v>
      </c>
      <c r="O319">
        <v>2488</v>
      </c>
      <c r="P319" t="s">
        <v>21</v>
      </c>
      <c r="Q319" t="s">
        <v>22</v>
      </c>
    </row>
    <row r="320" spans="1:17" x14ac:dyDescent="0.35">
      <c r="A320">
        <v>319</v>
      </c>
      <c r="B320" t="s">
        <v>897</v>
      </c>
      <c r="C320" t="s">
        <v>898</v>
      </c>
      <c r="D320" t="s">
        <v>1316</v>
      </c>
      <c r="E320">
        <v>28</v>
      </c>
      <c r="F320" t="str">
        <f t="shared" si="12"/>
        <v>adult</v>
      </c>
      <c r="G320" t="s">
        <v>881</v>
      </c>
      <c r="H320" t="str">
        <f t="shared" si="13"/>
        <v>Jul</v>
      </c>
      <c r="I320" t="s">
        <v>17</v>
      </c>
      <c r="J320" t="s">
        <v>37</v>
      </c>
      <c r="K320" t="s">
        <v>49</v>
      </c>
      <c r="L320" t="s">
        <v>20</v>
      </c>
      <c r="M320">
        <v>1</v>
      </c>
      <c r="N320" t="str">
        <f t="shared" si="14"/>
        <v>low</v>
      </c>
      <c r="O320">
        <v>2453</v>
      </c>
      <c r="P320" t="s">
        <v>57</v>
      </c>
      <c r="Q320" t="s">
        <v>58</v>
      </c>
    </row>
    <row r="321" spans="1:17" x14ac:dyDescent="0.35">
      <c r="A321">
        <v>320</v>
      </c>
      <c r="B321" t="s">
        <v>899</v>
      </c>
      <c r="C321" t="s">
        <v>900</v>
      </c>
      <c r="D321" t="s">
        <v>1315</v>
      </c>
      <c r="E321">
        <v>35</v>
      </c>
      <c r="F321" t="str">
        <f t="shared" si="12"/>
        <v>adult</v>
      </c>
      <c r="G321" t="s">
        <v>339</v>
      </c>
      <c r="H321" t="str">
        <f t="shared" si="13"/>
        <v>Jul</v>
      </c>
      <c r="I321" t="s">
        <v>17</v>
      </c>
      <c r="J321" t="s">
        <v>18</v>
      </c>
      <c r="K321" t="s">
        <v>38</v>
      </c>
      <c r="L321" t="s">
        <v>66</v>
      </c>
      <c r="M321">
        <v>5</v>
      </c>
      <c r="N321" t="str">
        <f t="shared" si="14"/>
        <v>high</v>
      </c>
      <c r="O321">
        <v>8785</v>
      </c>
      <c r="P321" t="s">
        <v>33</v>
      </c>
      <c r="Q321" t="s">
        <v>33</v>
      </c>
    </row>
    <row r="322" spans="1:17" x14ac:dyDescent="0.35">
      <c r="A322">
        <v>321</v>
      </c>
      <c r="B322" t="s">
        <v>901</v>
      </c>
      <c r="C322" t="s">
        <v>902</v>
      </c>
      <c r="D322" t="s">
        <v>1315</v>
      </c>
      <c r="E322">
        <v>53</v>
      </c>
      <c r="F322" t="str">
        <f t="shared" si="12"/>
        <v>senior</v>
      </c>
      <c r="G322" t="s">
        <v>903</v>
      </c>
      <c r="H322" t="str">
        <f t="shared" si="13"/>
        <v>Mar</v>
      </c>
      <c r="I322" t="s">
        <v>26</v>
      </c>
      <c r="J322" t="s">
        <v>56</v>
      </c>
      <c r="K322" t="s">
        <v>62</v>
      </c>
      <c r="L322" t="s">
        <v>20</v>
      </c>
      <c r="M322">
        <v>4</v>
      </c>
      <c r="N322" t="str">
        <f t="shared" si="14"/>
        <v>high</v>
      </c>
      <c r="O322">
        <v>3740</v>
      </c>
      <c r="P322" t="s">
        <v>40</v>
      </c>
      <c r="Q322" t="s">
        <v>22</v>
      </c>
    </row>
    <row r="323" spans="1:17" x14ac:dyDescent="0.35">
      <c r="A323">
        <v>322</v>
      </c>
      <c r="B323" t="s">
        <v>904</v>
      </c>
      <c r="C323" t="s">
        <v>905</v>
      </c>
      <c r="D323" t="s">
        <v>1316</v>
      </c>
      <c r="E323">
        <v>50</v>
      </c>
      <c r="F323" t="str">
        <f t="shared" ref="F323:F386" si="15">IF(E323&gt;45,"senior",IF(E323&gt;=25,"adult","teen"))</f>
        <v>senior</v>
      </c>
      <c r="G323" t="s">
        <v>906</v>
      </c>
      <c r="H323" t="str">
        <f t="shared" ref="H323:H386" si="16">TEXT(G323,"mmm")</f>
        <v>Feb</v>
      </c>
      <c r="I323" t="s">
        <v>17</v>
      </c>
      <c r="J323" t="s">
        <v>37</v>
      </c>
      <c r="K323" t="s">
        <v>62</v>
      </c>
      <c r="L323" t="s">
        <v>66</v>
      </c>
      <c r="M323">
        <v>3</v>
      </c>
      <c r="N323" t="str">
        <f t="shared" ref="N323:N386" si="17">IF(O323&gt;=3000,"high",IF(O323&gt;=500,"low","medium"))</f>
        <v>low</v>
      </c>
      <c r="O323">
        <v>1854</v>
      </c>
      <c r="P323" t="s">
        <v>57</v>
      </c>
      <c r="Q323" t="s">
        <v>58</v>
      </c>
    </row>
    <row r="324" spans="1:17" x14ac:dyDescent="0.35">
      <c r="A324">
        <v>323</v>
      </c>
      <c r="B324" t="s">
        <v>907</v>
      </c>
      <c r="C324" t="s">
        <v>908</v>
      </c>
      <c r="D324" t="s">
        <v>1316</v>
      </c>
      <c r="E324">
        <v>26</v>
      </c>
      <c r="F324" t="str">
        <f t="shared" si="15"/>
        <v>adult</v>
      </c>
      <c r="G324" t="s">
        <v>328</v>
      </c>
      <c r="H324" t="str">
        <f t="shared" si="16"/>
        <v>Sep</v>
      </c>
      <c r="I324" t="s">
        <v>31</v>
      </c>
      <c r="J324" t="s">
        <v>56</v>
      </c>
      <c r="K324" t="s">
        <v>49</v>
      </c>
      <c r="L324" t="s">
        <v>66</v>
      </c>
      <c r="M324">
        <v>2</v>
      </c>
      <c r="N324" t="str">
        <f t="shared" si="17"/>
        <v>low</v>
      </c>
      <c r="O324">
        <v>1888</v>
      </c>
      <c r="P324" t="s">
        <v>33</v>
      </c>
      <c r="Q324" t="s">
        <v>33</v>
      </c>
    </row>
    <row r="325" spans="1:17" x14ac:dyDescent="0.35">
      <c r="A325">
        <v>324</v>
      </c>
      <c r="B325" t="s">
        <v>909</v>
      </c>
      <c r="C325" t="s">
        <v>910</v>
      </c>
      <c r="D325" t="s">
        <v>1316</v>
      </c>
      <c r="E325">
        <v>41</v>
      </c>
      <c r="F325" t="str">
        <f t="shared" si="15"/>
        <v>adult</v>
      </c>
      <c r="G325" t="s">
        <v>615</v>
      </c>
      <c r="H325" t="str">
        <f t="shared" si="16"/>
        <v>Nov</v>
      </c>
      <c r="I325" t="s">
        <v>26</v>
      </c>
      <c r="J325" t="s">
        <v>18</v>
      </c>
      <c r="K325" t="s">
        <v>38</v>
      </c>
      <c r="L325" t="s">
        <v>20</v>
      </c>
      <c r="M325">
        <v>5</v>
      </c>
      <c r="N325" t="str">
        <f t="shared" si="17"/>
        <v>high</v>
      </c>
      <c r="O325">
        <v>8755</v>
      </c>
      <c r="P325" t="s">
        <v>44</v>
      </c>
      <c r="Q325" t="s">
        <v>45</v>
      </c>
    </row>
    <row r="326" spans="1:17" x14ac:dyDescent="0.35">
      <c r="A326">
        <v>325</v>
      </c>
      <c r="B326" t="s">
        <v>911</v>
      </c>
      <c r="C326" t="s">
        <v>912</v>
      </c>
      <c r="D326" t="s">
        <v>1316</v>
      </c>
      <c r="E326">
        <v>18</v>
      </c>
      <c r="F326" t="str">
        <f t="shared" si="15"/>
        <v>teen</v>
      </c>
      <c r="G326" t="s">
        <v>913</v>
      </c>
      <c r="H326" t="str">
        <f t="shared" si="16"/>
        <v>Mar</v>
      </c>
      <c r="I326" t="s">
        <v>31</v>
      </c>
      <c r="J326" t="s">
        <v>18</v>
      </c>
      <c r="K326" t="s">
        <v>19</v>
      </c>
      <c r="L326" t="s">
        <v>32</v>
      </c>
      <c r="M326">
        <v>3</v>
      </c>
      <c r="N326" t="str">
        <f t="shared" si="17"/>
        <v>high</v>
      </c>
      <c r="O326">
        <v>4815</v>
      </c>
      <c r="P326" t="s">
        <v>27</v>
      </c>
      <c r="Q326" t="s">
        <v>22</v>
      </c>
    </row>
    <row r="327" spans="1:17" x14ac:dyDescent="0.35">
      <c r="A327">
        <v>326</v>
      </c>
      <c r="B327" t="s">
        <v>914</v>
      </c>
      <c r="C327" t="s">
        <v>915</v>
      </c>
      <c r="D327" t="s">
        <v>1316</v>
      </c>
      <c r="E327">
        <v>54</v>
      </c>
      <c r="F327" t="str">
        <f t="shared" si="15"/>
        <v>senior</v>
      </c>
      <c r="G327" t="s">
        <v>298</v>
      </c>
      <c r="H327" t="str">
        <f t="shared" si="16"/>
        <v>May</v>
      </c>
      <c r="I327" t="s">
        <v>31</v>
      </c>
      <c r="J327" t="s">
        <v>56</v>
      </c>
      <c r="K327" t="s">
        <v>49</v>
      </c>
      <c r="L327" t="s">
        <v>39</v>
      </c>
      <c r="M327">
        <v>5</v>
      </c>
      <c r="N327" t="str">
        <f t="shared" si="17"/>
        <v>high</v>
      </c>
      <c r="O327">
        <v>12915</v>
      </c>
      <c r="P327" t="s">
        <v>44</v>
      </c>
      <c r="Q327" t="s">
        <v>45</v>
      </c>
    </row>
    <row r="328" spans="1:17" x14ac:dyDescent="0.35">
      <c r="A328">
        <v>327</v>
      </c>
      <c r="B328" t="s">
        <v>916</v>
      </c>
      <c r="C328" t="s">
        <v>917</v>
      </c>
      <c r="D328" t="s">
        <v>1315</v>
      </c>
      <c r="E328">
        <v>54</v>
      </c>
      <c r="F328" t="str">
        <f t="shared" si="15"/>
        <v>senior</v>
      </c>
      <c r="G328" t="s">
        <v>918</v>
      </c>
      <c r="H328" t="str">
        <f t="shared" si="16"/>
        <v>Dec</v>
      </c>
      <c r="I328" t="s">
        <v>17</v>
      </c>
      <c r="J328" t="s">
        <v>18</v>
      </c>
      <c r="K328" t="s">
        <v>49</v>
      </c>
      <c r="L328" t="s">
        <v>32</v>
      </c>
      <c r="M328">
        <v>1</v>
      </c>
      <c r="N328" t="str">
        <f t="shared" si="17"/>
        <v>low</v>
      </c>
      <c r="O328">
        <v>825</v>
      </c>
      <c r="P328" t="s">
        <v>99</v>
      </c>
      <c r="Q328" t="s">
        <v>100</v>
      </c>
    </row>
    <row r="329" spans="1:17" x14ac:dyDescent="0.35">
      <c r="A329">
        <v>328</v>
      </c>
      <c r="B329" t="s">
        <v>919</v>
      </c>
      <c r="C329" t="s">
        <v>920</v>
      </c>
      <c r="D329" t="s">
        <v>1315</v>
      </c>
      <c r="E329">
        <v>20</v>
      </c>
      <c r="F329" t="str">
        <f t="shared" si="15"/>
        <v>teen</v>
      </c>
      <c r="G329" t="s">
        <v>292</v>
      </c>
      <c r="H329" t="str">
        <f t="shared" si="16"/>
        <v>Aug</v>
      </c>
      <c r="I329" t="s">
        <v>17</v>
      </c>
      <c r="J329" t="s">
        <v>18</v>
      </c>
      <c r="K329" t="s">
        <v>62</v>
      </c>
      <c r="L329" t="s">
        <v>66</v>
      </c>
      <c r="M329">
        <v>2</v>
      </c>
      <c r="N329" t="str">
        <f t="shared" si="17"/>
        <v>high</v>
      </c>
      <c r="O329">
        <v>3846</v>
      </c>
      <c r="P329" t="s">
        <v>57</v>
      </c>
      <c r="Q329" t="s">
        <v>58</v>
      </c>
    </row>
    <row r="330" spans="1:17" x14ac:dyDescent="0.35">
      <c r="A330">
        <v>329</v>
      </c>
      <c r="B330" t="s">
        <v>921</v>
      </c>
      <c r="C330" t="s">
        <v>922</v>
      </c>
      <c r="D330" t="s">
        <v>1315</v>
      </c>
      <c r="E330">
        <v>40</v>
      </c>
      <c r="F330" t="str">
        <f t="shared" si="15"/>
        <v>adult</v>
      </c>
      <c r="G330" t="s">
        <v>923</v>
      </c>
      <c r="H330" t="str">
        <f t="shared" si="16"/>
        <v>Jan</v>
      </c>
      <c r="I330" t="s">
        <v>17</v>
      </c>
      <c r="J330" t="s">
        <v>18</v>
      </c>
      <c r="K330" t="s">
        <v>62</v>
      </c>
      <c r="L330" t="s">
        <v>20</v>
      </c>
      <c r="M330">
        <v>3</v>
      </c>
      <c r="N330" t="str">
        <f t="shared" si="17"/>
        <v>high</v>
      </c>
      <c r="O330">
        <v>8886</v>
      </c>
      <c r="P330" t="s">
        <v>21</v>
      </c>
      <c r="Q330" t="s">
        <v>22</v>
      </c>
    </row>
    <row r="331" spans="1:17" x14ac:dyDescent="0.35">
      <c r="A331">
        <v>330</v>
      </c>
      <c r="B331" t="s">
        <v>924</v>
      </c>
      <c r="C331" t="s">
        <v>925</v>
      </c>
      <c r="D331" t="s">
        <v>1316</v>
      </c>
      <c r="E331">
        <v>30</v>
      </c>
      <c r="F331" t="str">
        <f t="shared" si="15"/>
        <v>adult</v>
      </c>
      <c r="G331" t="s">
        <v>208</v>
      </c>
      <c r="H331" t="str">
        <f t="shared" si="16"/>
        <v>Apr</v>
      </c>
      <c r="I331" t="s">
        <v>17</v>
      </c>
      <c r="J331" t="s">
        <v>37</v>
      </c>
      <c r="K331" t="s">
        <v>62</v>
      </c>
      <c r="L331" t="s">
        <v>32</v>
      </c>
      <c r="M331">
        <v>1</v>
      </c>
      <c r="N331" t="str">
        <f t="shared" si="17"/>
        <v>low</v>
      </c>
      <c r="O331">
        <v>807</v>
      </c>
      <c r="P331" t="s">
        <v>40</v>
      </c>
      <c r="Q331" t="s">
        <v>22</v>
      </c>
    </row>
    <row r="332" spans="1:17" x14ac:dyDescent="0.35">
      <c r="A332">
        <v>331</v>
      </c>
      <c r="B332" t="s">
        <v>926</v>
      </c>
      <c r="C332" t="s">
        <v>927</v>
      </c>
      <c r="D332" t="s">
        <v>1316</v>
      </c>
      <c r="E332">
        <v>47</v>
      </c>
      <c r="F332" t="str">
        <f t="shared" si="15"/>
        <v>senior</v>
      </c>
      <c r="G332" t="s">
        <v>602</v>
      </c>
      <c r="H332" t="str">
        <f t="shared" si="16"/>
        <v>Jun</v>
      </c>
      <c r="I332" t="s">
        <v>31</v>
      </c>
      <c r="J332" t="s">
        <v>18</v>
      </c>
      <c r="K332" t="s">
        <v>49</v>
      </c>
      <c r="L332" t="s">
        <v>39</v>
      </c>
      <c r="M332">
        <v>3</v>
      </c>
      <c r="N332" t="str">
        <f t="shared" si="17"/>
        <v>low</v>
      </c>
      <c r="O332">
        <v>2148</v>
      </c>
      <c r="P332" t="s">
        <v>40</v>
      </c>
      <c r="Q332" t="s">
        <v>22</v>
      </c>
    </row>
    <row r="333" spans="1:17" x14ac:dyDescent="0.35">
      <c r="A333">
        <v>332</v>
      </c>
      <c r="B333" t="s">
        <v>928</v>
      </c>
      <c r="C333" t="s">
        <v>929</v>
      </c>
      <c r="D333" t="s">
        <v>1316</v>
      </c>
      <c r="E333">
        <v>34</v>
      </c>
      <c r="F333" t="str">
        <f t="shared" si="15"/>
        <v>adult</v>
      </c>
      <c r="G333" t="s">
        <v>376</v>
      </c>
      <c r="H333" t="str">
        <f t="shared" si="16"/>
        <v>Apr</v>
      </c>
      <c r="I333" t="s">
        <v>17</v>
      </c>
      <c r="J333" t="s">
        <v>18</v>
      </c>
      <c r="K333" t="s">
        <v>38</v>
      </c>
      <c r="L333" t="s">
        <v>39</v>
      </c>
      <c r="M333">
        <v>3</v>
      </c>
      <c r="N333" t="str">
        <f t="shared" si="17"/>
        <v>low</v>
      </c>
      <c r="O333">
        <v>2883</v>
      </c>
      <c r="P333" t="s">
        <v>99</v>
      </c>
      <c r="Q333" t="s">
        <v>100</v>
      </c>
    </row>
    <row r="334" spans="1:17" x14ac:dyDescent="0.35">
      <c r="A334">
        <v>333</v>
      </c>
      <c r="B334" t="s">
        <v>930</v>
      </c>
      <c r="C334" t="s">
        <v>931</v>
      </c>
      <c r="D334" t="s">
        <v>1316</v>
      </c>
      <c r="E334">
        <v>23</v>
      </c>
      <c r="F334" t="str">
        <f t="shared" si="15"/>
        <v>teen</v>
      </c>
      <c r="G334" t="s">
        <v>932</v>
      </c>
      <c r="H334" t="str">
        <f t="shared" si="16"/>
        <v>Aug</v>
      </c>
      <c r="I334" t="s">
        <v>17</v>
      </c>
      <c r="J334" t="s">
        <v>37</v>
      </c>
      <c r="K334" t="s">
        <v>19</v>
      </c>
      <c r="L334" t="s">
        <v>20</v>
      </c>
      <c r="M334">
        <v>4</v>
      </c>
      <c r="N334" t="str">
        <f t="shared" si="17"/>
        <v>high</v>
      </c>
      <c r="O334">
        <v>9160</v>
      </c>
      <c r="P334" t="s">
        <v>27</v>
      </c>
      <c r="Q334" t="s">
        <v>22</v>
      </c>
    </row>
    <row r="335" spans="1:17" x14ac:dyDescent="0.35">
      <c r="A335">
        <v>334</v>
      </c>
      <c r="B335" t="s">
        <v>933</v>
      </c>
      <c r="C335" t="s">
        <v>934</v>
      </c>
      <c r="D335" t="s">
        <v>1316</v>
      </c>
      <c r="E335">
        <v>44</v>
      </c>
      <c r="F335" t="str">
        <f t="shared" si="15"/>
        <v>adult</v>
      </c>
      <c r="G335" t="s">
        <v>935</v>
      </c>
      <c r="H335" t="str">
        <f t="shared" si="16"/>
        <v>May</v>
      </c>
      <c r="I335" t="s">
        <v>31</v>
      </c>
      <c r="J335" t="s">
        <v>18</v>
      </c>
      <c r="K335" t="s">
        <v>38</v>
      </c>
      <c r="L335" t="s">
        <v>39</v>
      </c>
      <c r="M335">
        <v>1</v>
      </c>
      <c r="N335" t="str">
        <f t="shared" si="17"/>
        <v>low</v>
      </c>
      <c r="O335">
        <v>2932</v>
      </c>
      <c r="P335" t="s">
        <v>79</v>
      </c>
      <c r="Q335" t="s">
        <v>80</v>
      </c>
    </row>
    <row r="336" spans="1:17" x14ac:dyDescent="0.35">
      <c r="A336">
        <v>335</v>
      </c>
      <c r="B336" t="s">
        <v>936</v>
      </c>
      <c r="C336" t="s">
        <v>937</v>
      </c>
      <c r="D336" t="s">
        <v>1316</v>
      </c>
      <c r="E336">
        <v>43</v>
      </c>
      <c r="F336" t="str">
        <f t="shared" si="15"/>
        <v>adult</v>
      </c>
      <c r="G336" t="s">
        <v>109</v>
      </c>
      <c r="H336" t="str">
        <f t="shared" si="16"/>
        <v>Nov</v>
      </c>
      <c r="I336" t="s">
        <v>31</v>
      </c>
      <c r="J336" t="s">
        <v>37</v>
      </c>
      <c r="K336" t="s">
        <v>38</v>
      </c>
      <c r="L336" t="s">
        <v>39</v>
      </c>
      <c r="M336">
        <v>1</v>
      </c>
      <c r="N336" t="str">
        <f t="shared" si="17"/>
        <v>low</v>
      </c>
      <c r="O336">
        <v>2259</v>
      </c>
      <c r="P336" t="s">
        <v>27</v>
      </c>
      <c r="Q336" t="s">
        <v>22</v>
      </c>
    </row>
    <row r="337" spans="1:17" x14ac:dyDescent="0.35">
      <c r="A337">
        <v>336</v>
      </c>
      <c r="B337" t="s">
        <v>938</v>
      </c>
      <c r="C337" t="s">
        <v>939</v>
      </c>
      <c r="D337" t="s">
        <v>1316</v>
      </c>
      <c r="E337">
        <v>26</v>
      </c>
      <c r="F337" t="str">
        <f t="shared" si="15"/>
        <v>adult</v>
      </c>
      <c r="G337" t="s">
        <v>940</v>
      </c>
      <c r="H337" t="str">
        <f t="shared" si="16"/>
        <v>Jun</v>
      </c>
      <c r="I337" t="s">
        <v>31</v>
      </c>
      <c r="J337" t="s">
        <v>37</v>
      </c>
      <c r="K337" t="s">
        <v>49</v>
      </c>
      <c r="L337" t="s">
        <v>20</v>
      </c>
      <c r="M337">
        <v>3</v>
      </c>
      <c r="N337" t="str">
        <f t="shared" si="17"/>
        <v>high</v>
      </c>
      <c r="O337">
        <v>4728</v>
      </c>
      <c r="P337" t="s">
        <v>57</v>
      </c>
      <c r="Q337" t="s">
        <v>58</v>
      </c>
    </row>
    <row r="338" spans="1:17" x14ac:dyDescent="0.35">
      <c r="A338">
        <v>337</v>
      </c>
      <c r="B338" t="s">
        <v>941</v>
      </c>
      <c r="C338" t="s">
        <v>942</v>
      </c>
      <c r="D338" t="s">
        <v>1316</v>
      </c>
      <c r="E338">
        <v>35</v>
      </c>
      <c r="F338" t="str">
        <f t="shared" si="15"/>
        <v>adult</v>
      </c>
      <c r="G338" t="s">
        <v>673</v>
      </c>
      <c r="H338" t="str">
        <f t="shared" si="16"/>
        <v>Jul</v>
      </c>
      <c r="I338" t="s">
        <v>31</v>
      </c>
      <c r="J338" t="s">
        <v>18</v>
      </c>
      <c r="K338" t="s">
        <v>19</v>
      </c>
      <c r="L338" t="s">
        <v>32</v>
      </c>
      <c r="M338">
        <v>3</v>
      </c>
      <c r="N338" t="str">
        <f t="shared" si="17"/>
        <v>high</v>
      </c>
      <c r="O338">
        <v>7215</v>
      </c>
      <c r="P338" t="s">
        <v>40</v>
      </c>
      <c r="Q338" t="s">
        <v>22</v>
      </c>
    </row>
    <row r="339" spans="1:17" x14ac:dyDescent="0.35">
      <c r="A339">
        <v>338</v>
      </c>
      <c r="B339" t="s">
        <v>943</v>
      </c>
      <c r="C339" t="s">
        <v>944</v>
      </c>
      <c r="D339" t="s">
        <v>1316</v>
      </c>
      <c r="E339">
        <v>19</v>
      </c>
      <c r="F339" t="str">
        <f t="shared" si="15"/>
        <v>teen</v>
      </c>
      <c r="G339" t="s">
        <v>89</v>
      </c>
      <c r="H339" t="str">
        <f t="shared" si="16"/>
        <v>Nov</v>
      </c>
      <c r="I339" t="s">
        <v>26</v>
      </c>
      <c r="J339" t="s">
        <v>56</v>
      </c>
      <c r="K339" t="s">
        <v>38</v>
      </c>
      <c r="L339" t="s">
        <v>20</v>
      </c>
      <c r="M339">
        <v>4</v>
      </c>
      <c r="N339" t="str">
        <f t="shared" si="17"/>
        <v>high</v>
      </c>
      <c r="O339">
        <v>5932</v>
      </c>
      <c r="P339" t="s">
        <v>79</v>
      </c>
      <c r="Q339" t="s">
        <v>80</v>
      </c>
    </row>
    <row r="340" spans="1:17" x14ac:dyDescent="0.35">
      <c r="A340">
        <v>339</v>
      </c>
      <c r="B340" t="s">
        <v>945</v>
      </c>
      <c r="C340" t="s">
        <v>946</v>
      </c>
      <c r="D340" t="s">
        <v>1316</v>
      </c>
      <c r="E340">
        <v>42</v>
      </c>
      <c r="F340" t="str">
        <f t="shared" si="15"/>
        <v>adult</v>
      </c>
      <c r="G340" t="s">
        <v>724</v>
      </c>
      <c r="H340" t="str">
        <f t="shared" si="16"/>
        <v>Aug</v>
      </c>
      <c r="I340" t="s">
        <v>17</v>
      </c>
      <c r="J340" t="s">
        <v>56</v>
      </c>
      <c r="K340" t="s">
        <v>62</v>
      </c>
      <c r="L340" t="s">
        <v>39</v>
      </c>
      <c r="M340">
        <v>5</v>
      </c>
      <c r="N340" t="str">
        <f t="shared" si="17"/>
        <v>high</v>
      </c>
      <c r="O340">
        <v>5940</v>
      </c>
      <c r="P340" t="s">
        <v>99</v>
      </c>
      <c r="Q340" t="s">
        <v>100</v>
      </c>
    </row>
    <row r="341" spans="1:17" x14ac:dyDescent="0.35">
      <c r="A341">
        <v>340</v>
      </c>
      <c r="B341" t="s">
        <v>947</v>
      </c>
      <c r="C341" t="s">
        <v>948</v>
      </c>
      <c r="D341" t="s">
        <v>1315</v>
      </c>
      <c r="E341">
        <v>21</v>
      </c>
      <c r="F341" t="str">
        <f t="shared" si="15"/>
        <v>teen</v>
      </c>
      <c r="G341" t="s">
        <v>208</v>
      </c>
      <c r="H341" t="str">
        <f t="shared" si="16"/>
        <v>Apr</v>
      </c>
      <c r="I341" t="s">
        <v>26</v>
      </c>
      <c r="J341" t="s">
        <v>18</v>
      </c>
      <c r="K341" t="s">
        <v>19</v>
      </c>
      <c r="L341" t="s">
        <v>20</v>
      </c>
      <c r="M341">
        <v>3</v>
      </c>
      <c r="N341" t="str">
        <f t="shared" si="17"/>
        <v>high</v>
      </c>
      <c r="O341">
        <v>6315</v>
      </c>
      <c r="P341" t="s">
        <v>57</v>
      </c>
      <c r="Q341" t="s">
        <v>58</v>
      </c>
    </row>
    <row r="342" spans="1:17" x14ac:dyDescent="0.35">
      <c r="A342">
        <v>341</v>
      </c>
      <c r="B342" t="s">
        <v>949</v>
      </c>
      <c r="C342" t="s">
        <v>950</v>
      </c>
      <c r="D342" t="s">
        <v>1315</v>
      </c>
      <c r="E342">
        <v>36</v>
      </c>
      <c r="F342" t="str">
        <f t="shared" si="15"/>
        <v>adult</v>
      </c>
      <c r="G342" t="s">
        <v>951</v>
      </c>
      <c r="H342" t="str">
        <f t="shared" si="16"/>
        <v>Oct</v>
      </c>
      <c r="I342" t="s">
        <v>31</v>
      </c>
      <c r="J342" t="s">
        <v>18</v>
      </c>
      <c r="K342" t="s">
        <v>49</v>
      </c>
      <c r="L342" t="s">
        <v>20</v>
      </c>
      <c r="M342">
        <v>3</v>
      </c>
      <c r="N342" t="str">
        <f t="shared" si="17"/>
        <v>high</v>
      </c>
      <c r="O342">
        <v>8190</v>
      </c>
      <c r="P342" t="s">
        <v>99</v>
      </c>
      <c r="Q342" t="s">
        <v>100</v>
      </c>
    </row>
    <row r="343" spans="1:17" x14ac:dyDescent="0.35">
      <c r="A343">
        <v>342</v>
      </c>
      <c r="B343" t="s">
        <v>952</v>
      </c>
      <c r="C343" t="s">
        <v>953</v>
      </c>
      <c r="D343" t="s">
        <v>1315</v>
      </c>
      <c r="E343">
        <v>60</v>
      </c>
      <c r="F343" t="str">
        <f t="shared" si="15"/>
        <v>senior</v>
      </c>
      <c r="G343" t="s">
        <v>456</v>
      </c>
      <c r="H343" t="str">
        <f t="shared" si="16"/>
        <v>May</v>
      </c>
      <c r="I343" t="s">
        <v>31</v>
      </c>
      <c r="J343" t="s">
        <v>18</v>
      </c>
      <c r="K343" t="s">
        <v>38</v>
      </c>
      <c r="L343" t="s">
        <v>66</v>
      </c>
      <c r="M343">
        <v>2</v>
      </c>
      <c r="N343" t="str">
        <f t="shared" si="17"/>
        <v>low</v>
      </c>
      <c r="O343">
        <v>1586</v>
      </c>
      <c r="P343" t="s">
        <v>27</v>
      </c>
      <c r="Q343" t="s">
        <v>22</v>
      </c>
    </row>
    <row r="344" spans="1:17" x14ac:dyDescent="0.35">
      <c r="A344">
        <v>343</v>
      </c>
      <c r="B344" t="s">
        <v>954</v>
      </c>
      <c r="C344" t="s">
        <v>955</v>
      </c>
      <c r="D344" t="s">
        <v>1316</v>
      </c>
      <c r="E344">
        <v>25</v>
      </c>
      <c r="F344" t="str">
        <f t="shared" si="15"/>
        <v>adult</v>
      </c>
      <c r="G344" t="s">
        <v>83</v>
      </c>
      <c r="H344" t="str">
        <f t="shared" si="16"/>
        <v>Jul</v>
      </c>
      <c r="I344" t="s">
        <v>17</v>
      </c>
      <c r="J344" t="s">
        <v>37</v>
      </c>
      <c r="K344" t="s">
        <v>38</v>
      </c>
      <c r="L344" t="s">
        <v>39</v>
      </c>
      <c r="M344">
        <v>4</v>
      </c>
      <c r="N344" t="str">
        <f t="shared" si="17"/>
        <v>low</v>
      </c>
      <c r="O344">
        <v>2668</v>
      </c>
      <c r="P344" t="s">
        <v>33</v>
      </c>
      <c r="Q344" t="s">
        <v>33</v>
      </c>
    </row>
    <row r="345" spans="1:17" x14ac:dyDescent="0.35">
      <c r="A345">
        <v>344</v>
      </c>
      <c r="B345" t="s">
        <v>956</v>
      </c>
      <c r="C345" t="s">
        <v>957</v>
      </c>
      <c r="D345" t="s">
        <v>1316</v>
      </c>
      <c r="E345">
        <v>50</v>
      </c>
      <c r="F345" t="str">
        <f t="shared" si="15"/>
        <v>senior</v>
      </c>
      <c r="G345" t="s">
        <v>958</v>
      </c>
      <c r="H345" t="str">
        <f t="shared" si="16"/>
        <v>Jan</v>
      </c>
      <c r="I345" t="s">
        <v>31</v>
      </c>
      <c r="J345" t="s">
        <v>37</v>
      </c>
      <c r="K345" t="s">
        <v>19</v>
      </c>
      <c r="L345" t="s">
        <v>66</v>
      </c>
      <c r="M345">
        <v>2</v>
      </c>
      <c r="N345" t="str">
        <f t="shared" si="17"/>
        <v>low</v>
      </c>
      <c r="O345">
        <v>1282</v>
      </c>
      <c r="P345" t="s">
        <v>21</v>
      </c>
      <c r="Q345" t="s">
        <v>22</v>
      </c>
    </row>
    <row r="346" spans="1:17" x14ac:dyDescent="0.35">
      <c r="A346">
        <v>345</v>
      </c>
      <c r="B346" t="s">
        <v>959</v>
      </c>
      <c r="C346" t="s">
        <v>960</v>
      </c>
      <c r="D346" t="s">
        <v>1316</v>
      </c>
      <c r="E346">
        <v>60</v>
      </c>
      <c r="F346" t="str">
        <f t="shared" si="15"/>
        <v>senior</v>
      </c>
      <c r="G346" t="s">
        <v>961</v>
      </c>
      <c r="H346" t="str">
        <f t="shared" si="16"/>
        <v>Dec</v>
      </c>
      <c r="I346" t="s">
        <v>31</v>
      </c>
      <c r="J346" t="s">
        <v>56</v>
      </c>
      <c r="K346" t="s">
        <v>19</v>
      </c>
      <c r="L346" t="s">
        <v>20</v>
      </c>
      <c r="M346">
        <v>3</v>
      </c>
      <c r="N346" t="str">
        <f t="shared" si="17"/>
        <v>low</v>
      </c>
      <c r="O346">
        <v>1785</v>
      </c>
      <c r="P346" t="s">
        <v>99</v>
      </c>
      <c r="Q346" t="s">
        <v>100</v>
      </c>
    </row>
    <row r="347" spans="1:17" x14ac:dyDescent="0.35">
      <c r="A347">
        <v>346</v>
      </c>
      <c r="B347" t="s">
        <v>962</v>
      </c>
      <c r="C347" t="s">
        <v>963</v>
      </c>
      <c r="D347" t="s">
        <v>1315</v>
      </c>
      <c r="E347">
        <v>27</v>
      </c>
      <c r="F347" t="str">
        <f t="shared" si="15"/>
        <v>adult</v>
      </c>
      <c r="G347" t="s">
        <v>964</v>
      </c>
      <c r="H347" t="str">
        <f t="shared" si="16"/>
        <v>May</v>
      </c>
      <c r="I347" t="s">
        <v>31</v>
      </c>
      <c r="J347" t="s">
        <v>18</v>
      </c>
      <c r="K347" t="s">
        <v>49</v>
      </c>
      <c r="L347" t="s">
        <v>32</v>
      </c>
      <c r="M347">
        <v>5</v>
      </c>
      <c r="N347" t="str">
        <f t="shared" si="17"/>
        <v>high</v>
      </c>
      <c r="O347">
        <v>8135</v>
      </c>
      <c r="P347" t="s">
        <v>57</v>
      </c>
      <c r="Q347" t="s">
        <v>58</v>
      </c>
    </row>
    <row r="348" spans="1:17" x14ac:dyDescent="0.35">
      <c r="A348">
        <v>347</v>
      </c>
      <c r="B348" t="s">
        <v>965</v>
      </c>
      <c r="C348" t="s">
        <v>966</v>
      </c>
      <c r="D348" t="s">
        <v>1316</v>
      </c>
      <c r="E348">
        <v>33</v>
      </c>
      <c r="F348" t="str">
        <f t="shared" si="15"/>
        <v>adult</v>
      </c>
      <c r="G348" t="s">
        <v>696</v>
      </c>
      <c r="H348" t="str">
        <f t="shared" si="16"/>
        <v>Oct</v>
      </c>
      <c r="I348" t="s">
        <v>17</v>
      </c>
      <c r="J348" t="s">
        <v>56</v>
      </c>
      <c r="K348" t="s">
        <v>38</v>
      </c>
      <c r="L348" t="s">
        <v>66</v>
      </c>
      <c r="M348">
        <v>2</v>
      </c>
      <c r="N348" t="str">
        <f t="shared" si="17"/>
        <v>low</v>
      </c>
      <c r="O348">
        <v>2260</v>
      </c>
      <c r="P348" t="s">
        <v>99</v>
      </c>
      <c r="Q348" t="s">
        <v>100</v>
      </c>
    </row>
    <row r="349" spans="1:17" x14ac:dyDescent="0.35">
      <c r="A349">
        <v>348</v>
      </c>
      <c r="B349" t="s">
        <v>967</v>
      </c>
      <c r="C349" t="s">
        <v>968</v>
      </c>
      <c r="D349" t="s">
        <v>1315</v>
      </c>
      <c r="E349">
        <v>53</v>
      </c>
      <c r="F349" t="str">
        <f t="shared" si="15"/>
        <v>senior</v>
      </c>
      <c r="G349" t="s">
        <v>397</v>
      </c>
      <c r="H349" t="str">
        <f t="shared" si="16"/>
        <v>May</v>
      </c>
      <c r="I349" t="s">
        <v>31</v>
      </c>
      <c r="J349" t="s">
        <v>56</v>
      </c>
      <c r="K349" t="s">
        <v>19</v>
      </c>
      <c r="L349" t="s">
        <v>66</v>
      </c>
      <c r="M349">
        <v>3</v>
      </c>
      <c r="N349" t="str">
        <f t="shared" si="17"/>
        <v>high</v>
      </c>
      <c r="O349">
        <v>7155</v>
      </c>
      <c r="P349" t="s">
        <v>40</v>
      </c>
      <c r="Q349" t="s">
        <v>22</v>
      </c>
    </row>
    <row r="350" spans="1:17" x14ac:dyDescent="0.35">
      <c r="A350">
        <v>349</v>
      </c>
      <c r="B350" t="s">
        <v>969</v>
      </c>
      <c r="C350" t="s">
        <v>970</v>
      </c>
      <c r="D350" t="s">
        <v>1316</v>
      </c>
      <c r="E350">
        <v>40</v>
      </c>
      <c r="F350" t="str">
        <f t="shared" si="15"/>
        <v>adult</v>
      </c>
      <c r="G350" t="s">
        <v>971</v>
      </c>
      <c r="H350" t="str">
        <f t="shared" si="16"/>
        <v>Mar</v>
      </c>
      <c r="I350" t="s">
        <v>26</v>
      </c>
      <c r="J350" t="s">
        <v>18</v>
      </c>
      <c r="K350" t="s">
        <v>38</v>
      </c>
      <c r="L350" t="s">
        <v>20</v>
      </c>
      <c r="M350">
        <v>1</v>
      </c>
      <c r="N350" t="str">
        <f t="shared" si="17"/>
        <v>low</v>
      </c>
      <c r="O350">
        <v>2710</v>
      </c>
      <c r="P350" t="s">
        <v>40</v>
      </c>
      <c r="Q350" t="s">
        <v>22</v>
      </c>
    </row>
    <row r="351" spans="1:17" x14ac:dyDescent="0.35">
      <c r="A351">
        <v>350</v>
      </c>
      <c r="B351" t="s">
        <v>972</v>
      </c>
      <c r="C351" t="s">
        <v>973</v>
      </c>
      <c r="D351" t="s">
        <v>1315</v>
      </c>
      <c r="E351">
        <v>26</v>
      </c>
      <c r="F351" t="str">
        <f t="shared" si="15"/>
        <v>adult</v>
      </c>
      <c r="G351" t="s">
        <v>776</v>
      </c>
      <c r="H351" t="str">
        <f t="shared" si="16"/>
        <v>Jan</v>
      </c>
      <c r="I351" t="s">
        <v>31</v>
      </c>
      <c r="J351" t="s">
        <v>18</v>
      </c>
      <c r="K351" t="s">
        <v>38</v>
      </c>
      <c r="L351" t="s">
        <v>39</v>
      </c>
      <c r="M351">
        <v>5</v>
      </c>
      <c r="N351" t="str">
        <f t="shared" si="17"/>
        <v>high</v>
      </c>
      <c r="O351">
        <v>12200</v>
      </c>
      <c r="P351" t="s">
        <v>21</v>
      </c>
      <c r="Q351" t="s">
        <v>22</v>
      </c>
    </row>
    <row r="352" spans="1:17" x14ac:dyDescent="0.35">
      <c r="A352">
        <v>351</v>
      </c>
      <c r="B352" t="s">
        <v>974</v>
      </c>
      <c r="C352" t="s">
        <v>975</v>
      </c>
      <c r="D352" t="s">
        <v>1316</v>
      </c>
      <c r="E352">
        <v>19</v>
      </c>
      <c r="F352" t="str">
        <f t="shared" si="15"/>
        <v>teen</v>
      </c>
      <c r="G352" t="s">
        <v>254</v>
      </c>
      <c r="H352" t="str">
        <f t="shared" si="16"/>
        <v>Jan</v>
      </c>
      <c r="I352" t="s">
        <v>26</v>
      </c>
      <c r="J352" t="s">
        <v>56</v>
      </c>
      <c r="K352" t="s">
        <v>49</v>
      </c>
      <c r="L352" t="s">
        <v>66</v>
      </c>
      <c r="M352">
        <v>4</v>
      </c>
      <c r="N352" t="str">
        <f t="shared" si="17"/>
        <v>high</v>
      </c>
      <c r="O352">
        <v>4316</v>
      </c>
      <c r="P352" t="s">
        <v>44</v>
      </c>
      <c r="Q352" t="s">
        <v>45</v>
      </c>
    </row>
    <row r="353" spans="1:17" x14ac:dyDescent="0.35">
      <c r="A353">
        <v>352</v>
      </c>
      <c r="B353" t="s">
        <v>976</v>
      </c>
      <c r="C353" t="s">
        <v>977</v>
      </c>
      <c r="D353" t="s">
        <v>1316</v>
      </c>
      <c r="E353">
        <v>33</v>
      </c>
      <c r="F353" t="str">
        <f t="shared" si="15"/>
        <v>adult</v>
      </c>
      <c r="G353" t="s">
        <v>978</v>
      </c>
      <c r="H353" t="str">
        <f t="shared" si="16"/>
        <v>Feb</v>
      </c>
      <c r="I353" t="s">
        <v>17</v>
      </c>
      <c r="J353" t="s">
        <v>37</v>
      </c>
      <c r="K353" t="s">
        <v>49</v>
      </c>
      <c r="L353" t="s">
        <v>32</v>
      </c>
      <c r="M353">
        <v>4</v>
      </c>
      <c r="N353" t="str">
        <f t="shared" si="17"/>
        <v>high</v>
      </c>
      <c r="O353">
        <v>11068</v>
      </c>
      <c r="P353" t="s">
        <v>40</v>
      </c>
      <c r="Q353" t="s">
        <v>22</v>
      </c>
    </row>
    <row r="354" spans="1:17" x14ac:dyDescent="0.35">
      <c r="A354">
        <v>353</v>
      </c>
      <c r="B354" t="s">
        <v>979</v>
      </c>
      <c r="C354" t="s">
        <v>980</v>
      </c>
      <c r="D354" t="s">
        <v>1316</v>
      </c>
      <c r="E354">
        <v>54</v>
      </c>
      <c r="F354" t="str">
        <f t="shared" si="15"/>
        <v>senior</v>
      </c>
      <c r="G354" t="s">
        <v>331</v>
      </c>
      <c r="H354" t="str">
        <f t="shared" si="16"/>
        <v>Aug</v>
      </c>
      <c r="I354" t="s">
        <v>31</v>
      </c>
      <c r="J354" t="s">
        <v>56</v>
      </c>
      <c r="K354" t="s">
        <v>19</v>
      </c>
      <c r="L354" t="s">
        <v>20</v>
      </c>
      <c r="M354">
        <v>1</v>
      </c>
      <c r="N354" t="str">
        <f t="shared" si="17"/>
        <v>low</v>
      </c>
      <c r="O354">
        <v>511</v>
      </c>
      <c r="P354" t="s">
        <v>21</v>
      </c>
      <c r="Q354" t="s">
        <v>22</v>
      </c>
    </row>
    <row r="355" spans="1:17" x14ac:dyDescent="0.35">
      <c r="A355">
        <v>354</v>
      </c>
      <c r="B355" t="s">
        <v>981</v>
      </c>
      <c r="C355" t="s">
        <v>982</v>
      </c>
      <c r="D355" t="s">
        <v>1316</v>
      </c>
      <c r="E355">
        <v>19</v>
      </c>
      <c r="F355" t="str">
        <f t="shared" si="15"/>
        <v>teen</v>
      </c>
      <c r="G355" t="s">
        <v>983</v>
      </c>
      <c r="H355" t="str">
        <f t="shared" si="16"/>
        <v>Mar</v>
      </c>
      <c r="I355" t="s">
        <v>31</v>
      </c>
      <c r="J355" t="s">
        <v>18</v>
      </c>
      <c r="K355" t="s">
        <v>19</v>
      </c>
      <c r="L355" t="s">
        <v>39</v>
      </c>
      <c r="M355">
        <v>5</v>
      </c>
      <c r="N355" t="str">
        <f t="shared" si="17"/>
        <v>high</v>
      </c>
      <c r="O355">
        <v>3350</v>
      </c>
      <c r="P355" t="s">
        <v>79</v>
      </c>
      <c r="Q355" t="s">
        <v>80</v>
      </c>
    </row>
    <row r="356" spans="1:17" x14ac:dyDescent="0.35">
      <c r="A356">
        <v>355</v>
      </c>
      <c r="B356" t="s">
        <v>984</v>
      </c>
      <c r="C356" t="s">
        <v>985</v>
      </c>
      <c r="D356" t="s">
        <v>1315</v>
      </c>
      <c r="E356">
        <v>46</v>
      </c>
      <c r="F356" t="str">
        <f t="shared" si="15"/>
        <v>senior</v>
      </c>
      <c r="G356" t="s">
        <v>986</v>
      </c>
      <c r="H356" t="str">
        <f t="shared" si="16"/>
        <v>Apr</v>
      </c>
      <c r="I356" t="s">
        <v>17</v>
      </c>
      <c r="J356" t="s">
        <v>37</v>
      </c>
      <c r="K356" t="s">
        <v>38</v>
      </c>
      <c r="L356" t="s">
        <v>66</v>
      </c>
      <c r="M356">
        <v>2</v>
      </c>
      <c r="N356" t="str">
        <f t="shared" si="17"/>
        <v>high</v>
      </c>
      <c r="O356">
        <v>5310</v>
      </c>
      <c r="P356" t="s">
        <v>99</v>
      </c>
      <c r="Q356" t="s">
        <v>100</v>
      </c>
    </row>
    <row r="357" spans="1:17" x14ac:dyDescent="0.35">
      <c r="A357">
        <v>356</v>
      </c>
      <c r="B357" t="s">
        <v>987</v>
      </c>
      <c r="C357" t="s">
        <v>988</v>
      </c>
      <c r="D357" t="s">
        <v>1316</v>
      </c>
      <c r="E357">
        <v>59</v>
      </c>
      <c r="F357" t="str">
        <f t="shared" si="15"/>
        <v>senior</v>
      </c>
      <c r="G357" t="s">
        <v>989</v>
      </c>
      <c r="H357" t="str">
        <f t="shared" si="16"/>
        <v>Feb</v>
      </c>
      <c r="I357" t="s">
        <v>17</v>
      </c>
      <c r="J357" t="s">
        <v>56</v>
      </c>
      <c r="K357" t="s">
        <v>19</v>
      </c>
      <c r="L357" t="s">
        <v>32</v>
      </c>
      <c r="M357">
        <v>5</v>
      </c>
      <c r="N357" t="str">
        <f t="shared" si="17"/>
        <v>high</v>
      </c>
      <c r="O357">
        <v>9390</v>
      </c>
      <c r="P357" t="s">
        <v>27</v>
      </c>
      <c r="Q357" t="s">
        <v>22</v>
      </c>
    </row>
    <row r="358" spans="1:17" x14ac:dyDescent="0.35">
      <c r="A358">
        <v>357</v>
      </c>
      <c r="B358" t="s">
        <v>990</v>
      </c>
      <c r="C358" t="s">
        <v>991</v>
      </c>
      <c r="D358" t="s">
        <v>1315</v>
      </c>
      <c r="E358">
        <v>56</v>
      </c>
      <c r="F358" t="str">
        <f t="shared" si="15"/>
        <v>senior</v>
      </c>
      <c r="G358" t="s">
        <v>72</v>
      </c>
      <c r="H358" t="str">
        <f t="shared" si="16"/>
        <v>Aug</v>
      </c>
      <c r="I358" t="s">
        <v>26</v>
      </c>
      <c r="J358" t="s">
        <v>18</v>
      </c>
      <c r="K358" t="s">
        <v>19</v>
      </c>
      <c r="L358" t="s">
        <v>66</v>
      </c>
      <c r="M358">
        <v>3</v>
      </c>
      <c r="N358" t="str">
        <f t="shared" si="17"/>
        <v>low</v>
      </c>
      <c r="O358">
        <v>2712</v>
      </c>
      <c r="P358" t="s">
        <v>33</v>
      </c>
      <c r="Q358" t="s">
        <v>33</v>
      </c>
    </row>
    <row r="359" spans="1:17" x14ac:dyDescent="0.35">
      <c r="A359">
        <v>358</v>
      </c>
      <c r="B359" t="s">
        <v>992</v>
      </c>
      <c r="C359" t="s">
        <v>993</v>
      </c>
      <c r="D359" t="s">
        <v>1315</v>
      </c>
      <c r="E359">
        <v>35</v>
      </c>
      <c r="F359" t="str">
        <f t="shared" si="15"/>
        <v>adult</v>
      </c>
      <c r="G359" t="s">
        <v>493</v>
      </c>
      <c r="H359" t="str">
        <f t="shared" si="16"/>
        <v>Apr</v>
      </c>
      <c r="I359" t="s">
        <v>31</v>
      </c>
      <c r="J359" t="s">
        <v>18</v>
      </c>
      <c r="K359" t="s">
        <v>49</v>
      </c>
      <c r="L359" t="s">
        <v>20</v>
      </c>
      <c r="M359">
        <v>2</v>
      </c>
      <c r="N359" t="str">
        <f t="shared" si="17"/>
        <v>high</v>
      </c>
      <c r="O359">
        <v>4142</v>
      </c>
      <c r="P359" t="s">
        <v>44</v>
      </c>
      <c r="Q359" t="s">
        <v>45</v>
      </c>
    </row>
    <row r="360" spans="1:17" x14ac:dyDescent="0.35">
      <c r="A360">
        <v>359</v>
      </c>
      <c r="B360" t="s">
        <v>994</v>
      </c>
      <c r="C360" t="s">
        <v>995</v>
      </c>
      <c r="D360" t="s">
        <v>1315</v>
      </c>
      <c r="E360">
        <v>36</v>
      </c>
      <c r="F360" t="str">
        <f t="shared" si="15"/>
        <v>adult</v>
      </c>
      <c r="G360" t="s">
        <v>996</v>
      </c>
      <c r="H360" t="str">
        <f t="shared" si="16"/>
        <v>Aug</v>
      </c>
      <c r="I360" t="s">
        <v>26</v>
      </c>
      <c r="J360" t="s">
        <v>56</v>
      </c>
      <c r="K360" t="s">
        <v>62</v>
      </c>
      <c r="L360" t="s">
        <v>66</v>
      </c>
      <c r="M360">
        <v>2</v>
      </c>
      <c r="N360" t="str">
        <f t="shared" si="17"/>
        <v>low</v>
      </c>
      <c r="O360">
        <v>1572</v>
      </c>
      <c r="P360" t="s">
        <v>99</v>
      </c>
      <c r="Q360" t="s">
        <v>100</v>
      </c>
    </row>
    <row r="361" spans="1:17" x14ac:dyDescent="0.35">
      <c r="A361">
        <v>360</v>
      </c>
      <c r="B361" t="s">
        <v>997</v>
      </c>
      <c r="C361" t="s">
        <v>998</v>
      </c>
      <c r="D361" t="s">
        <v>1315</v>
      </c>
      <c r="E361">
        <v>54</v>
      </c>
      <c r="F361" t="str">
        <f t="shared" si="15"/>
        <v>senior</v>
      </c>
      <c r="G361" t="s">
        <v>999</v>
      </c>
      <c r="H361" t="str">
        <f t="shared" si="16"/>
        <v>Mar</v>
      </c>
      <c r="I361" t="s">
        <v>26</v>
      </c>
      <c r="J361" t="s">
        <v>18</v>
      </c>
      <c r="K361" t="s">
        <v>19</v>
      </c>
      <c r="L361" t="s">
        <v>32</v>
      </c>
      <c r="M361">
        <v>5</v>
      </c>
      <c r="N361" t="str">
        <f t="shared" si="17"/>
        <v>low</v>
      </c>
      <c r="O361">
        <v>2520</v>
      </c>
      <c r="P361" t="s">
        <v>44</v>
      </c>
      <c r="Q361" t="s">
        <v>45</v>
      </c>
    </row>
    <row r="362" spans="1:17" x14ac:dyDescent="0.35">
      <c r="A362">
        <v>361</v>
      </c>
      <c r="B362" t="s">
        <v>1000</v>
      </c>
      <c r="C362" t="s">
        <v>1001</v>
      </c>
      <c r="D362" t="s">
        <v>1315</v>
      </c>
      <c r="E362">
        <v>48</v>
      </c>
      <c r="F362" t="str">
        <f t="shared" si="15"/>
        <v>senior</v>
      </c>
      <c r="G362" t="s">
        <v>1002</v>
      </c>
      <c r="H362" t="str">
        <f t="shared" si="16"/>
        <v>Sep</v>
      </c>
      <c r="I362" t="s">
        <v>17</v>
      </c>
      <c r="J362" t="s">
        <v>18</v>
      </c>
      <c r="K362" t="s">
        <v>38</v>
      </c>
      <c r="L362" t="s">
        <v>66</v>
      </c>
      <c r="M362">
        <v>1</v>
      </c>
      <c r="N362" t="str">
        <f t="shared" si="17"/>
        <v>low</v>
      </c>
      <c r="O362">
        <v>859</v>
      </c>
      <c r="P362" t="s">
        <v>44</v>
      </c>
      <c r="Q362" t="s">
        <v>45</v>
      </c>
    </row>
    <row r="363" spans="1:17" x14ac:dyDescent="0.35">
      <c r="A363">
        <v>362</v>
      </c>
      <c r="B363" t="s">
        <v>1003</v>
      </c>
      <c r="C363" t="s">
        <v>1004</v>
      </c>
      <c r="D363" t="s">
        <v>1316</v>
      </c>
      <c r="E363">
        <v>19</v>
      </c>
      <c r="F363" t="str">
        <f t="shared" si="15"/>
        <v>teen</v>
      </c>
      <c r="G363" t="s">
        <v>280</v>
      </c>
      <c r="H363" t="str">
        <f t="shared" si="16"/>
        <v>Feb</v>
      </c>
      <c r="I363" t="s">
        <v>26</v>
      </c>
      <c r="J363" t="s">
        <v>37</v>
      </c>
      <c r="K363" t="s">
        <v>38</v>
      </c>
      <c r="L363" t="s">
        <v>39</v>
      </c>
      <c r="M363">
        <v>4</v>
      </c>
      <c r="N363" t="str">
        <f t="shared" si="17"/>
        <v>high</v>
      </c>
      <c r="O363">
        <v>7196</v>
      </c>
      <c r="P363" t="s">
        <v>21</v>
      </c>
      <c r="Q363" t="s">
        <v>22</v>
      </c>
    </row>
    <row r="364" spans="1:17" x14ac:dyDescent="0.35">
      <c r="A364">
        <v>363</v>
      </c>
      <c r="B364" t="s">
        <v>1005</v>
      </c>
      <c r="C364" t="s">
        <v>1006</v>
      </c>
      <c r="D364" t="s">
        <v>1316</v>
      </c>
      <c r="E364">
        <v>50</v>
      </c>
      <c r="F364" t="str">
        <f t="shared" si="15"/>
        <v>senior</v>
      </c>
      <c r="G364" t="s">
        <v>1007</v>
      </c>
      <c r="H364" t="str">
        <f t="shared" si="16"/>
        <v>Mar</v>
      </c>
      <c r="I364" t="s">
        <v>26</v>
      </c>
      <c r="J364" t="s">
        <v>37</v>
      </c>
      <c r="K364" t="s">
        <v>49</v>
      </c>
      <c r="L364" t="s">
        <v>20</v>
      </c>
      <c r="M364">
        <v>3</v>
      </c>
      <c r="N364" t="str">
        <f t="shared" si="17"/>
        <v>high</v>
      </c>
      <c r="O364">
        <v>7107</v>
      </c>
      <c r="P364" t="s">
        <v>57</v>
      </c>
      <c r="Q364" t="s">
        <v>58</v>
      </c>
    </row>
    <row r="365" spans="1:17" x14ac:dyDescent="0.35">
      <c r="A365">
        <v>364</v>
      </c>
      <c r="B365" t="s">
        <v>1008</v>
      </c>
      <c r="C365" t="s">
        <v>1009</v>
      </c>
      <c r="D365" t="s">
        <v>1316</v>
      </c>
      <c r="E365">
        <v>46</v>
      </c>
      <c r="F365" t="str">
        <f t="shared" si="15"/>
        <v>senior</v>
      </c>
      <c r="G365" t="s">
        <v>482</v>
      </c>
      <c r="H365" t="str">
        <f t="shared" si="16"/>
        <v>Oct</v>
      </c>
      <c r="I365" t="s">
        <v>17</v>
      </c>
      <c r="J365" t="s">
        <v>56</v>
      </c>
      <c r="K365" t="s">
        <v>49</v>
      </c>
      <c r="L365" t="s">
        <v>66</v>
      </c>
      <c r="M365">
        <v>4</v>
      </c>
      <c r="N365" t="str">
        <f t="shared" si="17"/>
        <v>high</v>
      </c>
      <c r="O365">
        <v>6080</v>
      </c>
      <c r="P365" t="s">
        <v>44</v>
      </c>
      <c r="Q365" t="s">
        <v>45</v>
      </c>
    </row>
    <row r="366" spans="1:17" x14ac:dyDescent="0.35">
      <c r="A366">
        <v>365</v>
      </c>
      <c r="B366" t="s">
        <v>1010</v>
      </c>
      <c r="C366" t="s">
        <v>1011</v>
      </c>
      <c r="D366" t="s">
        <v>1315</v>
      </c>
      <c r="E366">
        <v>57</v>
      </c>
      <c r="F366" t="str">
        <f t="shared" si="15"/>
        <v>senior</v>
      </c>
      <c r="G366" t="s">
        <v>615</v>
      </c>
      <c r="H366" t="str">
        <f t="shared" si="16"/>
        <v>Nov</v>
      </c>
      <c r="I366" t="s">
        <v>17</v>
      </c>
      <c r="J366" t="s">
        <v>37</v>
      </c>
      <c r="K366" t="s">
        <v>19</v>
      </c>
      <c r="L366" t="s">
        <v>66</v>
      </c>
      <c r="M366">
        <v>3</v>
      </c>
      <c r="N366" t="str">
        <f t="shared" si="17"/>
        <v>high</v>
      </c>
      <c r="O366">
        <v>4344</v>
      </c>
      <c r="P366" t="s">
        <v>44</v>
      </c>
      <c r="Q366" t="s">
        <v>45</v>
      </c>
    </row>
    <row r="367" spans="1:17" x14ac:dyDescent="0.35">
      <c r="A367">
        <v>366</v>
      </c>
      <c r="B367" t="s">
        <v>1012</v>
      </c>
      <c r="C367" t="s">
        <v>1013</v>
      </c>
      <c r="D367" t="s">
        <v>1316</v>
      </c>
      <c r="E367">
        <v>26</v>
      </c>
      <c r="F367" t="str">
        <f t="shared" si="15"/>
        <v>adult</v>
      </c>
      <c r="G367" t="s">
        <v>185</v>
      </c>
      <c r="H367" t="str">
        <f t="shared" si="16"/>
        <v>Oct</v>
      </c>
      <c r="I367" t="s">
        <v>26</v>
      </c>
      <c r="J367" t="s">
        <v>37</v>
      </c>
      <c r="K367" t="s">
        <v>49</v>
      </c>
      <c r="L367" t="s">
        <v>66</v>
      </c>
      <c r="M367">
        <v>5</v>
      </c>
      <c r="N367" t="str">
        <f t="shared" si="17"/>
        <v>high</v>
      </c>
      <c r="O367">
        <v>5605</v>
      </c>
      <c r="P367" t="s">
        <v>57</v>
      </c>
      <c r="Q367" t="s">
        <v>58</v>
      </c>
    </row>
    <row r="368" spans="1:17" x14ac:dyDescent="0.35">
      <c r="A368">
        <v>367</v>
      </c>
      <c r="B368" t="s">
        <v>1014</v>
      </c>
      <c r="C368" t="s">
        <v>1015</v>
      </c>
      <c r="D368" t="s">
        <v>1316</v>
      </c>
      <c r="E368">
        <v>29</v>
      </c>
      <c r="F368" t="str">
        <f t="shared" si="15"/>
        <v>adult</v>
      </c>
      <c r="G368" t="s">
        <v>1016</v>
      </c>
      <c r="H368" t="str">
        <f t="shared" si="16"/>
        <v>Dec</v>
      </c>
      <c r="I368" t="s">
        <v>31</v>
      </c>
      <c r="J368" t="s">
        <v>18</v>
      </c>
      <c r="K368" t="s">
        <v>62</v>
      </c>
      <c r="L368" t="s">
        <v>66</v>
      </c>
      <c r="M368">
        <v>3</v>
      </c>
      <c r="N368" t="str">
        <f t="shared" si="17"/>
        <v>high</v>
      </c>
      <c r="O368">
        <v>7074</v>
      </c>
      <c r="P368" t="s">
        <v>57</v>
      </c>
      <c r="Q368" t="s">
        <v>58</v>
      </c>
    </row>
    <row r="369" spans="1:17" x14ac:dyDescent="0.35">
      <c r="A369">
        <v>368</v>
      </c>
      <c r="B369" t="s">
        <v>1017</v>
      </c>
      <c r="C369" t="s">
        <v>1018</v>
      </c>
      <c r="D369" t="s">
        <v>1316</v>
      </c>
      <c r="E369">
        <v>60</v>
      </c>
      <c r="F369" t="str">
        <f t="shared" si="15"/>
        <v>senior</v>
      </c>
      <c r="G369" t="s">
        <v>450</v>
      </c>
      <c r="H369" t="str">
        <f t="shared" si="16"/>
        <v>Nov</v>
      </c>
      <c r="I369" t="s">
        <v>17</v>
      </c>
      <c r="J369" t="s">
        <v>37</v>
      </c>
      <c r="K369" t="s">
        <v>49</v>
      </c>
      <c r="L369" t="s">
        <v>39</v>
      </c>
      <c r="M369">
        <v>1</v>
      </c>
      <c r="N369" t="str">
        <f t="shared" si="17"/>
        <v>low</v>
      </c>
      <c r="O369">
        <v>2384</v>
      </c>
      <c r="P369" t="s">
        <v>44</v>
      </c>
      <c r="Q369" t="s">
        <v>45</v>
      </c>
    </row>
    <row r="370" spans="1:17" x14ac:dyDescent="0.35">
      <c r="A370">
        <v>369</v>
      </c>
      <c r="B370" t="s">
        <v>1019</v>
      </c>
      <c r="C370" t="s">
        <v>1020</v>
      </c>
      <c r="D370" t="s">
        <v>1315</v>
      </c>
      <c r="E370">
        <v>35</v>
      </c>
      <c r="F370" t="str">
        <f t="shared" si="15"/>
        <v>adult</v>
      </c>
      <c r="G370" t="s">
        <v>1021</v>
      </c>
      <c r="H370" t="str">
        <f t="shared" si="16"/>
        <v>Jun</v>
      </c>
      <c r="I370" t="s">
        <v>26</v>
      </c>
      <c r="J370" t="s">
        <v>18</v>
      </c>
      <c r="K370" t="s">
        <v>49</v>
      </c>
      <c r="L370" t="s">
        <v>20</v>
      </c>
      <c r="M370">
        <v>1</v>
      </c>
      <c r="N370" t="str">
        <f t="shared" si="17"/>
        <v>low</v>
      </c>
      <c r="O370">
        <v>1994</v>
      </c>
      <c r="P370" t="s">
        <v>27</v>
      </c>
      <c r="Q370" t="s">
        <v>22</v>
      </c>
    </row>
    <row r="371" spans="1:17" x14ac:dyDescent="0.35">
      <c r="A371">
        <v>370</v>
      </c>
      <c r="B371" t="s">
        <v>1022</v>
      </c>
      <c r="C371" t="s">
        <v>1023</v>
      </c>
      <c r="D371" t="s">
        <v>1316</v>
      </c>
      <c r="E371">
        <v>55</v>
      </c>
      <c r="F371" t="str">
        <f t="shared" si="15"/>
        <v>senior</v>
      </c>
      <c r="G371" t="s">
        <v>289</v>
      </c>
      <c r="H371" t="str">
        <f t="shared" si="16"/>
        <v>Nov</v>
      </c>
      <c r="I371" t="s">
        <v>17</v>
      </c>
      <c r="J371" t="s">
        <v>37</v>
      </c>
      <c r="K371" t="s">
        <v>38</v>
      </c>
      <c r="L371" t="s">
        <v>20</v>
      </c>
      <c r="M371">
        <v>4</v>
      </c>
      <c r="N371" t="str">
        <f t="shared" si="17"/>
        <v>high</v>
      </c>
      <c r="O371">
        <v>4372</v>
      </c>
      <c r="P371" t="s">
        <v>33</v>
      </c>
      <c r="Q371" t="s">
        <v>33</v>
      </c>
    </row>
    <row r="372" spans="1:17" x14ac:dyDescent="0.35">
      <c r="A372">
        <v>371</v>
      </c>
      <c r="B372" t="s">
        <v>1024</v>
      </c>
      <c r="C372" t="s">
        <v>1025</v>
      </c>
      <c r="D372" t="s">
        <v>1316</v>
      </c>
      <c r="E372">
        <v>30</v>
      </c>
      <c r="F372" t="str">
        <f t="shared" si="15"/>
        <v>adult</v>
      </c>
      <c r="G372" t="s">
        <v>932</v>
      </c>
      <c r="H372" t="str">
        <f t="shared" si="16"/>
        <v>Aug</v>
      </c>
      <c r="I372" t="s">
        <v>31</v>
      </c>
      <c r="J372" t="s">
        <v>18</v>
      </c>
      <c r="K372" t="s">
        <v>38</v>
      </c>
      <c r="L372" t="s">
        <v>20</v>
      </c>
      <c r="M372">
        <v>4</v>
      </c>
      <c r="N372" t="str">
        <f t="shared" si="17"/>
        <v>high</v>
      </c>
      <c r="O372">
        <v>9852</v>
      </c>
      <c r="P372" t="s">
        <v>79</v>
      </c>
      <c r="Q372" t="s">
        <v>80</v>
      </c>
    </row>
    <row r="373" spans="1:17" x14ac:dyDescent="0.35">
      <c r="A373">
        <v>372</v>
      </c>
      <c r="B373" t="s">
        <v>1026</v>
      </c>
      <c r="C373" t="s">
        <v>1027</v>
      </c>
      <c r="D373" t="s">
        <v>1316</v>
      </c>
      <c r="E373">
        <v>45</v>
      </c>
      <c r="F373" t="str">
        <f t="shared" si="15"/>
        <v>adult</v>
      </c>
      <c r="G373" t="s">
        <v>357</v>
      </c>
      <c r="H373" t="str">
        <f t="shared" si="16"/>
        <v>Jan</v>
      </c>
      <c r="I373" t="s">
        <v>26</v>
      </c>
      <c r="J373" t="s">
        <v>37</v>
      </c>
      <c r="K373" t="s">
        <v>62</v>
      </c>
      <c r="L373" t="s">
        <v>20</v>
      </c>
      <c r="M373">
        <v>2</v>
      </c>
      <c r="N373" t="str">
        <f t="shared" si="17"/>
        <v>low</v>
      </c>
      <c r="O373">
        <v>1062</v>
      </c>
      <c r="P373" t="s">
        <v>21</v>
      </c>
      <c r="Q373" t="s">
        <v>22</v>
      </c>
    </row>
    <row r="374" spans="1:17" x14ac:dyDescent="0.35">
      <c r="A374">
        <v>373</v>
      </c>
      <c r="B374" t="s">
        <v>1028</v>
      </c>
      <c r="C374" t="s">
        <v>1029</v>
      </c>
      <c r="D374" t="s">
        <v>1315</v>
      </c>
      <c r="E374">
        <v>37</v>
      </c>
      <c r="F374" t="str">
        <f t="shared" si="15"/>
        <v>adult</v>
      </c>
      <c r="G374" t="s">
        <v>918</v>
      </c>
      <c r="H374" t="str">
        <f t="shared" si="16"/>
        <v>Dec</v>
      </c>
      <c r="I374" t="s">
        <v>17</v>
      </c>
      <c r="J374" t="s">
        <v>18</v>
      </c>
      <c r="K374" t="s">
        <v>49</v>
      </c>
      <c r="L374" t="s">
        <v>20</v>
      </c>
      <c r="M374">
        <v>4</v>
      </c>
      <c r="N374" t="str">
        <f t="shared" si="17"/>
        <v>high</v>
      </c>
      <c r="O374">
        <v>3196</v>
      </c>
      <c r="P374" t="s">
        <v>57</v>
      </c>
      <c r="Q374" t="s">
        <v>58</v>
      </c>
    </row>
    <row r="375" spans="1:17" x14ac:dyDescent="0.35">
      <c r="A375">
        <v>374</v>
      </c>
      <c r="B375" t="s">
        <v>1030</v>
      </c>
      <c r="C375" t="s">
        <v>1031</v>
      </c>
      <c r="D375" t="s">
        <v>1316</v>
      </c>
      <c r="E375">
        <v>50</v>
      </c>
      <c r="F375" t="str">
        <f t="shared" si="15"/>
        <v>senior</v>
      </c>
      <c r="G375" t="s">
        <v>246</v>
      </c>
      <c r="H375" t="str">
        <f t="shared" si="16"/>
        <v>May</v>
      </c>
      <c r="I375" t="s">
        <v>26</v>
      </c>
      <c r="J375" t="s">
        <v>56</v>
      </c>
      <c r="K375" t="s">
        <v>19</v>
      </c>
      <c r="L375" t="s">
        <v>66</v>
      </c>
      <c r="M375">
        <v>3</v>
      </c>
      <c r="N375" t="str">
        <f t="shared" si="17"/>
        <v>high</v>
      </c>
      <c r="O375">
        <v>7473</v>
      </c>
      <c r="P375" t="s">
        <v>57</v>
      </c>
      <c r="Q375" t="s">
        <v>58</v>
      </c>
    </row>
    <row r="376" spans="1:17" x14ac:dyDescent="0.35">
      <c r="A376">
        <v>375</v>
      </c>
      <c r="B376" t="s">
        <v>1032</v>
      </c>
      <c r="C376" t="s">
        <v>1033</v>
      </c>
      <c r="D376" t="s">
        <v>1315</v>
      </c>
      <c r="E376">
        <v>28</v>
      </c>
      <c r="F376" t="str">
        <f t="shared" si="15"/>
        <v>adult</v>
      </c>
      <c r="G376" t="s">
        <v>357</v>
      </c>
      <c r="H376" t="str">
        <f t="shared" si="16"/>
        <v>Jan</v>
      </c>
      <c r="I376" t="s">
        <v>31</v>
      </c>
      <c r="J376" t="s">
        <v>56</v>
      </c>
      <c r="K376" t="s">
        <v>38</v>
      </c>
      <c r="L376" t="s">
        <v>39</v>
      </c>
      <c r="M376">
        <v>3</v>
      </c>
      <c r="N376" t="str">
        <f t="shared" si="17"/>
        <v>high</v>
      </c>
      <c r="O376">
        <v>5139</v>
      </c>
      <c r="P376" t="s">
        <v>99</v>
      </c>
      <c r="Q376" t="s">
        <v>100</v>
      </c>
    </row>
    <row r="377" spans="1:17" x14ac:dyDescent="0.35">
      <c r="A377">
        <v>376</v>
      </c>
      <c r="B377" t="s">
        <v>1034</v>
      </c>
      <c r="C377" t="s">
        <v>1035</v>
      </c>
      <c r="D377" t="s">
        <v>1315</v>
      </c>
      <c r="E377">
        <v>27</v>
      </c>
      <c r="F377" t="str">
        <f t="shared" si="15"/>
        <v>adult</v>
      </c>
      <c r="G377" t="s">
        <v>1036</v>
      </c>
      <c r="H377" t="str">
        <f t="shared" si="16"/>
        <v>May</v>
      </c>
      <c r="I377" t="s">
        <v>26</v>
      </c>
      <c r="J377" t="s">
        <v>56</v>
      </c>
      <c r="K377" t="s">
        <v>49</v>
      </c>
      <c r="L377" t="s">
        <v>39</v>
      </c>
      <c r="M377">
        <v>2</v>
      </c>
      <c r="N377" t="str">
        <f t="shared" si="17"/>
        <v>high</v>
      </c>
      <c r="O377">
        <v>3240</v>
      </c>
      <c r="P377" t="s">
        <v>57</v>
      </c>
      <c r="Q377" t="s">
        <v>58</v>
      </c>
    </row>
    <row r="378" spans="1:17" x14ac:dyDescent="0.35">
      <c r="A378">
        <v>377</v>
      </c>
      <c r="B378" t="s">
        <v>1037</v>
      </c>
      <c r="C378" t="s">
        <v>1038</v>
      </c>
      <c r="D378" t="s">
        <v>1316</v>
      </c>
      <c r="E378">
        <v>18</v>
      </c>
      <c r="F378" t="str">
        <f t="shared" si="15"/>
        <v>teen</v>
      </c>
      <c r="G378" t="s">
        <v>605</v>
      </c>
      <c r="H378" t="str">
        <f t="shared" si="16"/>
        <v>Jul</v>
      </c>
      <c r="I378" t="s">
        <v>17</v>
      </c>
      <c r="J378" t="s">
        <v>56</v>
      </c>
      <c r="K378" t="s">
        <v>49</v>
      </c>
      <c r="L378" t="s">
        <v>39</v>
      </c>
      <c r="M378">
        <v>3</v>
      </c>
      <c r="N378" t="str">
        <f t="shared" si="17"/>
        <v>high</v>
      </c>
      <c r="O378">
        <v>6234</v>
      </c>
      <c r="P378" t="s">
        <v>27</v>
      </c>
      <c r="Q378" t="s">
        <v>22</v>
      </c>
    </row>
    <row r="379" spans="1:17" x14ac:dyDescent="0.35">
      <c r="A379">
        <v>378</v>
      </c>
      <c r="B379" t="s">
        <v>1039</v>
      </c>
      <c r="C379" t="s">
        <v>1040</v>
      </c>
      <c r="D379" t="s">
        <v>1315</v>
      </c>
      <c r="E379">
        <v>41</v>
      </c>
      <c r="F379" t="str">
        <f t="shared" si="15"/>
        <v>adult</v>
      </c>
      <c r="G379" t="s">
        <v>1041</v>
      </c>
      <c r="H379" t="str">
        <f t="shared" si="16"/>
        <v>Oct</v>
      </c>
      <c r="I379" t="s">
        <v>31</v>
      </c>
      <c r="J379" t="s">
        <v>37</v>
      </c>
      <c r="K379" t="s">
        <v>19</v>
      </c>
      <c r="L379" t="s">
        <v>32</v>
      </c>
      <c r="M379">
        <v>1</v>
      </c>
      <c r="N379" t="str">
        <f t="shared" si="17"/>
        <v>low</v>
      </c>
      <c r="O379">
        <v>2209</v>
      </c>
      <c r="P379" t="s">
        <v>27</v>
      </c>
      <c r="Q379" t="s">
        <v>22</v>
      </c>
    </row>
    <row r="380" spans="1:17" x14ac:dyDescent="0.35">
      <c r="A380">
        <v>379</v>
      </c>
      <c r="B380" t="s">
        <v>1042</v>
      </c>
      <c r="C380" t="s">
        <v>1043</v>
      </c>
      <c r="D380" t="s">
        <v>1316</v>
      </c>
      <c r="E380">
        <v>56</v>
      </c>
      <c r="F380" t="str">
        <f t="shared" si="15"/>
        <v>senior</v>
      </c>
      <c r="G380" t="s">
        <v>855</v>
      </c>
      <c r="H380" t="str">
        <f t="shared" si="16"/>
        <v>Oct</v>
      </c>
      <c r="I380" t="s">
        <v>17</v>
      </c>
      <c r="J380" t="s">
        <v>18</v>
      </c>
      <c r="K380" t="s">
        <v>62</v>
      </c>
      <c r="L380" t="s">
        <v>32</v>
      </c>
      <c r="M380">
        <v>1</v>
      </c>
      <c r="N380" t="str">
        <f t="shared" si="17"/>
        <v>low</v>
      </c>
      <c r="O380">
        <v>2473</v>
      </c>
      <c r="P380" t="s">
        <v>33</v>
      </c>
      <c r="Q380" t="s">
        <v>33</v>
      </c>
    </row>
    <row r="381" spans="1:17" x14ac:dyDescent="0.35">
      <c r="A381">
        <v>380</v>
      </c>
      <c r="B381" t="s">
        <v>1044</v>
      </c>
      <c r="C381" t="s">
        <v>1045</v>
      </c>
      <c r="D381" t="s">
        <v>1316</v>
      </c>
      <c r="E381">
        <v>55</v>
      </c>
      <c r="F381" t="str">
        <f t="shared" si="15"/>
        <v>senior</v>
      </c>
      <c r="G381" t="s">
        <v>304</v>
      </c>
      <c r="H381" t="str">
        <f t="shared" si="16"/>
        <v>Jul</v>
      </c>
      <c r="I381" t="s">
        <v>31</v>
      </c>
      <c r="J381" t="s">
        <v>56</v>
      </c>
      <c r="K381" t="s">
        <v>49</v>
      </c>
      <c r="L381" t="s">
        <v>39</v>
      </c>
      <c r="M381">
        <v>1</v>
      </c>
      <c r="N381" t="str">
        <f t="shared" si="17"/>
        <v>low</v>
      </c>
      <c r="O381">
        <v>2652</v>
      </c>
      <c r="P381" t="s">
        <v>27</v>
      </c>
      <c r="Q381" t="s">
        <v>22</v>
      </c>
    </row>
    <row r="382" spans="1:17" x14ac:dyDescent="0.35">
      <c r="A382">
        <v>381</v>
      </c>
      <c r="B382" t="s">
        <v>1046</v>
      </c>
      <c r="C382" t="s">
        <v>1047</v>
      </c>
      <c r="D382" t="s">
        <v>1316</v>
      </c>
      <c r="E382">
        <v>30</v>
      </c>
      <c r="F382" t="str">
        <f t="shared" si="15"/>
        <v>adult</v>
      </c>
      <c r="G382" t="s">
        <v>140</v>
      </c>
      <c r="H382" t="str">
        <f t="shared" si="16"/>
        <v>Aug</v>
      </c>
      <c r="I382" t="s">
        <v>31</v>
      </c>
      <c r="J382" t="s">
        <v>18</v>
      </c>
      <c r="K382" t="s">
        <v>38</v>
      </c>
      <c r="L382" t="s">
        <v>32</v>
      </c>
      <c r="M382">
        <v>5</v>
      </c>
      <c r="N382" t="str">
        <f t="shared" si="17"/>
        <v>high</v>
      </c>
      <c r="O382">
        <v>14305</v>
      </c>
      <c r="P382" t="s">
        <v>44</v>
      </c>
      <c r="Q382" t="s">
        <v>45</v>
      </c>
    </row>
    <row r="383" spans="1:17" x14ac:dyDescent="0.35">
      <c r="A383">
        <v>382</v>
      </c>
      <c r="B383" t="s">
        <v>1048</v>
      </c>
      <c r="C383" t="s">
        <v>1049</v>
      </c>
      <c r="D383" t="s">
        <v>1315</v>
      </c>
      <c r="E383">
        <v>35</v>
      </c>
      <c r="F383" t="str">
        <f t="shared" si="15"/>
        <v>adult</v>
      </c>
      <c r="G383" t="s">
        <v>1050</v>
      </c>
      <c r="H383" t="str">
        <f t="shared" si="16"/>
        <v>Mar</v>
      </c>
      <c r="I383" t="s">
        <v>31</v>
      </c>
      <c r="J383" t="s">
        <v>37</v>
      </c>
      <c r="K383" t="s">
        <v>19</v>
      </c>
      <c r="L383" t="s">
        <v>66</v>
      </c>
      <c r="M383">
        <v>3</v>
      </c>
      <c r="N383" t="str">
        <f t="shared" si="17"/>
        <v>high</v>
      </c>
      <c r="O383">
        <v>4767</v>
      </c>
      <c r="P383" t="s">
        <v>33</v>
      </c>
      <c r="Q383" t="s">
        <v>33</v>
      </c>
    </row>
    <row r="384" spans="1:17" x14ac:dyDescent="0.35">
      <c r="A384">
        <v>383</v>
      </c>
      <c r="B384" t="s">
        <v>1051</v>
      </c>
      <c r="C384" t="s">
        <v>1052</v>
      </c>
      <c r="D384" t="s">
        <v>1315</v>
      </c>
      <c r="E384">
        <v>43</v>
      </c>
      <c r="F384" t="str">
        <f t="shared" si="15"/>
        <v>adult</v>
      </c>
      <c r="G384" t="s">
        <v>1053</v>
      </c>
      <c r="H384" t="str">
        <f t="shared" si="16"/>
        <v>Oct</v>
      </c>
      <c r="I384" t="s">
        <v>17</v>
      </c>
      <c r="J384" t="s">
        <v>37</v>
      </c>
      <c r="K384" t="s">
        <v>38</v>
      </c>
      <c r="L384" t="s">
        <v>32</v>
      </c>
      <c r="M384">
        <v>4</v>
      </c>
      <c r="N384" t="str">
        <f t="shared" si="17"/>
        <v>high</v>
      </c>
      <c r="O384">
        <v>9012</v>
      </c>
      <c r="P384" t="s">
        <v>99</v>
      </c>
      <c r="Q384" t="s">
        <v>100</v>
      </c>
    </row>
    <row r="385" spans="1:17" x14ac:dyDescent="0.35">
      <c r="A385">
        <v>384</v>
      </c>
      <c r="B385" t="s">
        <v>1054</v>
      </c>
      <c r="C385" t="s">
        <v>1055</v>
      </c>
      <c r="D385" t="s">
        <v>1316</v>
      </c>
      <c r="E385">
        <v>40</v>
      </c>
      <c r="F385" t="str">
        <f t="shared" si="15"/>
        <v>adult</v>
      </c>
      <c r="G385" t="s">
        <v>673</v>
      </c>
      <c r="H385" t="str">
        <f t="shared" si="16"/>
        <v>Jul</v>
      </c>
      <c r="I385" t="s">
        <v>17</v>
      </c>
      <c r="J385" t="s">
        <v>18</v>
      </c>
      <c r="K385" t="s">
        <v>19</v>
      </c>
      <c r="L385" t="s">
        <v>66</v>
      </c>
      <c r="M385">
        <v>3</v>
      </c>
      <c r="N385" t="str">
        <f t="shared" si="17"/>
        <v>high</v>
      </c>
      <c r="O385">
        <v>4182</v>
      </c>
      <c r="P385" t="s">
        <v>33</v>
      </c>
      <c r="Q385" t="s">
        <v>33</v>
      </c>
    </row>
    <row r="386" spans="1:17" x14ac:dyDescent="0.35">
      <c r="A386">
        <v>385</v>
      </c>
      <c r="B386" t="s">
        <v>1056</v>
      </c>
      <c r="C386" t="s">
        <v>1057</v>
      </c>
      <c r="D386" t="s">
        <v>1315</v>
      </c>
      <c r="E386">
        <v>20</v>
      </c>
      <c r="F386" t="str">
        <f t="shared" si="15"/>
        <v>teen</v>
      </c>
      <c r="G386" t="s">
        <v>634</v>
      </c>
      <c r="H386" t="str">
        <f t="shared" si="16"/>
        <v>Nov</v>
      </c>
      <c r="I386" t="s">
        <v>31</v>
      </c>
      <c r="J386" t="s">
        <v>56</v>
      </c>
      <c r="K386" t="s">
        <v>38</v>
      </c>
      <c r="L386" t="s">
        <v>39</v>
      </c>
      <c r="M386">
        <v>4</v>
      </c>
      <c r="N386" t="str">
        <f t="shared" si="17"/>
        <v>low</v>
      </c>
      <c r="O386">
        <v>2408</v>
      </c>
      <c r="P386" t="s">
        <v>40</v>
      </c>
      <c r="Q386" t="s">
        <v>22</v>
      </c>
    </row>
    <row r="387" spans="1:17" x14ac:dyDescent="0.35">
      <c r="A387">
        <v>386</v>
      </c>
      <c r="B387" t="s">
        <v>1058</v>
      </c>
      <c r="C387" t="s">
        <v>1059</v>
      </c>
      <c r="D387" t="s">
        <v>1316</v>
      </c>
      <c r="E387">
        <v>23</v>
      </c>
      <c r="F387" t="str">
        <f t="shared" ref="F387:F450" si="18">IF(E387&gt;45,"senior",IF(E387&gt;=25,"adult","teen"))</f>
        <v>teen</v>
      </c>
      <c r="G387" t="s">
        <v>1060</v>
      </c>
      <c r="H387" t="str">
        <f t="shared" ref="H387:H450" si="19">TEXT(G387,"mmm")</f>
        <v>Jan</v>
      </c>
      <c r="I387" t="s">
        <v>31</v>
      </c>
      <c r="J387" t="s">
        <v>18</v>
      </c>
      <c r="K387" t="s">
        <v>62</v>
      </c>
      <c r="L387" t="s">
        <v>20</v>
      </c>
      <c r="M387">
        <v>1</v>
      </c>
      <c r="N387" t="str">
        <f t="shared" ref="N387:N450" si="20">IF(O387&gt;=3000,"high",IF(O387&gt;=500,"low","medium"))</f>
        <v>low</v>
      </c>
      <c r="O387">
        <v>581</v>
      </c>
      <c r="P387" t="s">
        <v>79</v>
      </c>
      <c r="Q387" t="s">
        <v>80</v>
      </c>
    </row>
    <row r="388" spans="1:17" x14ac:dyDescent="0.35">
      <c r="A388">
        <v>387</v>
      </c>
      <c r="B388" t="s">
        <v>1061</v>
      </c>
      <c r="C388" t="s">
        <v>1062</v>
      </c>
      <c r="D388" t="s">
        <v>1316</v>
      </c>
      <c r="E388">
        <v>23</v>
      </c>
      <c r="F388" t="str">
        <f t="shared" si="18"/>
        <v>teen</v>
      </c>
      <c r="G388" t="s">
        <v>608</v>
      </c>
      <c r="H388" t="str">
        <f t="shared" si="19"/>
        <v>Sep</v>
      </c>
      <c r="I388" t="s">
        <v>26</v>
      </c>
      <c r="J388" t="s">
        <v>18</v>
      </c>
      <c r="K388" t="s">
        <v>19</v>
      </c>
      <c r="L388" t="s">
        <v>66</v>
      </c>
      <c r="M388">
        <v>4</v>
      </c>
      <c r="N388" t="str">
        <f t="shared" si="20"/>
        <v>high</v>
      </c>
      <c r="O388">
        <v>6140</v>
      </c>
      <c r="P388" t="s">
        <v>33</v>
      </c>
      <c r="Q388" t="s">
        <v>33</v>
      </c>
    </row>
    <row r="389" spans="1:17" x14ac:dyDescent="0.35">
      <c r="A389">
        <v>388</v>
      </c>
      <c r="B389" t="s">
        <v>1063</v>
      </c>
      <c r="C389" t="s">
        <v>1064</v>
      </c>
      <c r="D389" t="s">
        <v>1316</v>
      </c>
      <c r="E389">
        <v>27</v>
      </c>
      <c r="F389" t="str">
        <f t="shared" si="18"/>
        <v>adult</v>
      </c>
      <c r="G389" t="s">
        <v>1065</v>
      </c>
      <c r="H389" t="str">
        <f t="shared" si="19"/>
        <v>Jul</v>
      </c>
      <c r="I389" t="s">
        <v>26</v>
      </c>
      <c r="J389" t="s">
        <v>56</v>
      </c>
      <c r="K389" t="s">
        <v>49</v>
      </c>
      <c r="L389" t="s">
        <v>39</v>
      </c>
      <c r="M389">
        <v>1</v>
      </c>
      <c r="N389" t="str">
        <f t="shared" si="20"/>
        <v>low</v>
      </c>
      <c r="O389">
        <v>2319</v>
      </c>
      <c r="P389" t="s">
        <v>44</v>
      </c>
      <c r="Q389" t="s">
        <v>45</v>
      </c>
    </row>
    <row r="390" spans="1:17" x14ac:dyDescent="0.35">
      <c r="A390">
        <v>389</v>
      </c>
      <c r="B390" t="s">
        <v>1066</v>
      </c>
      <c r="C390" t="s">
        <v>1067</v>
      </c>
      <c r="D390" t="s">
        <v>1316</v>
      </c>
      <c r="E390">
        <v>23</v>
      </c>
      <c r="F390" t="str">
        <f t="shared" si="18"/>
        <v>teen</v>
      </c>
      <c r="G390" t="s">
        <v>496</v>
      </c>
      <c r="H390" t="str">
        <f t="shared" si="19"/>
        <v>Oct</v>
      </c>
      <c r="I390" t="s">
        <v>31</v>
      </c>
      <c r="J390" t="s">
        <v>56</v>
      </c>
      <c r="K390" t="s">
        <v>19</v>
      </c>
      <c r="L390" t="s">
        <v>66</v>
      </c>
      <c r="M390">
        <v>3</v>
      </c>
      <c r="N390" t="str">
        <f t="shared" si="20"/>
        <v>high</v>
      </c>
      <c r="O390">
        <v>3834</v>
      </c>
      <c r="P390" t="s">
        <v>79</v>
      </c>
      <c r="Q390" t="s">
        <v>80</v>
      </c>
    </row>
    <row r="391" spans="1:17" x14ac:dyDescent="0.35">
      <c r="A391">
        <v>390</v>
      </c>
      <c r="B391" t="s">
        <v>1068</v>
      </c>
      <c r="C391" t="s">
        <v>1069</v>
      </c>
      <c r="D391" t="s">
        <v>1315</v>
      </c>
      <c r="E391">
        <v>47</v>
      </c>
      <c r="F391" t="str">
        <f t="shared" si="18"/>
        <v>senior</v>
      </c>
      <c r="G391" t="s">
        <v>1070</v>
      </c>
      <c r="H391" t="str">
        <f t="shared" si="19"/>
        <v>Jun</v>
      </c>
      <c r="I391" t="s">
        <v>26</v>
      </c>
      <c r="J391" t="s">
        <v>18</v>
      </c>
      <c r="K391" t="s">
        <v>49</v>
      </c>
      <c r="L391" t="s">
        <v>66</v>
      </c>
      <c r="M391">
        <v>1</v>
      </c>
      <c r="N391" t="str">
        <f t="shared" si="20"/>
        <v>low</v>
      </c>
      <c r="O391">
        <v>1457</v>
      </c>
      <c r="P391" t="s">
        <v>44</v>
      </c>
      <c r="Q391" t="s">
        <v>45</v>
      </c>
    </row>
    <row r="392" spans="1:17" x14ac:dyDescent="0.35">
      <c r="A392">
        <v>391</v>
      </c>
      <c r="B392" t="s">
        <v>1071</v>
      </c>
      <c r="C392" t="s">
        <v>1072</v>
      </c>
      <c r="D392" t="s">
        <v>1315</v>
      </c>
      <c r="E392">
        <v>60</v>
      </c>
      <c r="F392" t="str">
        <f t="shared" si="18"/>
        <v>senior</v>
      </c>
      <c r="G392" t="s">
        <v>310</v>
      </c>
      <c r="H392" t="str">
        <f t="shared" si="19"/>
        <v>Mar</v>
      </c>
      <c r="I392" t="s">
        <v>26</v>
      </c>
      <c r="J392" t="s">
        <v>56</v>
      </c>
      <c r="K392" t="s">
        <v>19</v>
      </c>
      <c r="L392" t="s">
        <v>66</v>
      </c>
      <c r="M392">
        <v>5</v>
      </c>
      <c r="N392" t="str">
        <f t="shared" si="20"/>
        <v>high</v>
      </c>
      <c r="O392">
        <v>13745</v>
      </c>
      <c r="P392" t="s">
        <v>40</v>
      </c>
      <c r="Q392" t="s">
        <v>22</v>
      </c>
    </row>
    <row r="393" spans="1:17" x14ac:dyDescent="0.35">
      <c r="A393">
        <v>392</v>
      </c>
      <c r="B393" t="s">
        <v>1073</v>
      </c>
      <c r="C393" t="s">
        <v>1074</v>
      </c>
      <c r="D393" t="s">
        <v>1316</v>
      </c>
      <c r="E393">
        <v>48</v>
      </c>
      <c r="F393" t="str">
        <f t="shared" si="18"/>
        <v>senior</v>
      </c>
      <c r="G393" t="s">
        <v>840</v>
      </c>
      <c r="H393" t="str">
        <f t="shared" si="19"/>
        <v>Nov</v>
      </c>
      <c r="I393" t="s">
        <v>31</v>
      </c>
      <c r="J393" t="s">
        <v>18</v>
      </c>
      <c r="K393" t="s">
        <v>19</v>
      </c>
      <c r="L393" t="s">
        <v>32</v>
      </c>
      <c r="M393">
        <v>3</v>
      </c>
      <c r="N393" t="str">
        <f t="shared" si="20"/>
        <v>high</v>
      </c>
      <c r="O393">
        <v>8241</v>
      </c>
      <c r="P393" t="s">
        <v>99</v>
      </c>
      <c r="Q393" t="s">
        <v>100</v>
      </c>
    </row>
    <row r="394" spans="1:17" x14ac:dyDescent="0.35">
      <c r="A394">
        <v>393</v>
      </c>
      <c r="B394" t="s">
        <v>1075</v>
      </c>
      <c r="C394" t="s">
        <v>1076</v>
      </c>
      <c r="D394" t="s">
        <v>1315</v>
      </c>
      <c r="E394">
        <v>23</v>
      </c>
      <c r="F394" t="str">
        <f t="shared" si="18"/>
        <v>teen</v>
      </c>
      <c r="G394" t="s">
        <v>397</v>
      </c>
      <c r="H394" t="str">
        <f t="shared" si="19"/>
        <v>May</v>
      </c>
      <c r="I394" t="s">
        <v>31</v>
      </c>
      <c r="J394" t="s">
        <v>18</v>
      </c>
      <c r="K394" t="s">
        <v>38</v>
      </c>
      <c r="L394" t="s">
        <v>39</v>
      </c>
      <c r="M394">
        <v>5</v>
      </c>
      <c r="N394" t="str">
        <f t="shared" si="20"/>
        <v>high</v>
      </c>
      <c r="O394">
        <v>12490</v>
      </c>
      <c r="P394" t="s">
        <v>27</v>
      </c>
      <c r="Q394" t="s">
        <v>22</v>
      </c>
    </row>
    <row r="395" spans="1:17" x14ac:dyDescent="0.35">
      <c r="A395">
        <v>394</v>
      </c>
      <c r="B395" t="s">
        <v>1077</v>
      </c>
      <c r="C395" t="s">
        <v>1078</v>
      </c>
      <c r="D395" t="s">
        <v>1316</v>
      </c>
      <c r="E395">
        <v>59</v>
      </c>
      <c r="F395" t="str">
        <f t="shared" si="18"/>
        <v>senior</v>
      </c>
      <c r="G395" t="s">
        <v>298</v>
      </c>
      <c r="H395" t="str">
        <f t="shared" si="19"/>
        <v>May</v>
      </c>
      <c r="I395" t="s">
        <v>26</v>
      </c>
      <c r="J395" t="s">
        <v>56</v>
      </c>
      <c r="K395" t="s">
        <v>49</v>
      </c>
      <c r="L395" t="s">
        <v>20</v>
      </c>
      <c r="M395">
        <v>5</v>
      </c>
      <c r="N395" t="str">
        <f t="shared" si="20"/>
        <v>high</v>
      </c>
      <c r="O395">
        <v>7130</v>
      </c>
      <c r="P395" t="s">
        <v>99</v>
      </c>
      <c r="Q395" t="s">
        <v>100</v>
      </c>
    </row>
    <row r="396" spans="1:17" x14ac:dyDescent="0.35">
      <c r="A396">
        <v>395</v>
      </c>
      <c r="B396" t="s">
        <v>1079</v>
      </c>
      <c r="C396" t="s">
        <v>1080</v>
      </c>
      <c r="D396" t="s">
        <v>1315</v>
      </c>
      <c r="E396">
        <v>60</v>
      </c>
      <c r="F396" t="str">
        <f t="shared" si="18"/>
        <v>senior</v>
      </c>
      <c r="G396" t="s">
        <v>521</v>
      </c>
      <c r="H396" t="str">
        <f t="shared" si="19"/>
        <v>Nov</v>
      </c>
      <c r="I396" t="s">
        <v>26</v>
      </c>
      <c r="J396" t="s">
        <v>37</v>
      </c>
      <c r="K396" t="s">
        <v>38</v>
      </c>
      <c r="L396" t="s">
        <v>66</v>
      </c>
      <c r="M396">
        <v>2</v>
      </c>
      <c r="N396" t="str">
        <f t="shared" si="20"/>
        <v>high</v>
      </c>
      <c r="O396">
        <v>5132</v>
      </c>
      <c r="P396" t="s">
        <v>99</v>
      </c>
      <c r="Q396" t="s">
        <v>100</v>
      </c>
    </row>
    <row r="397" spans="1:17" x14ac:dyDescent="0.35">
      <c r="A397">
        <v>396</v>
      </c>
      <c r="B397" t="s">
        <v>1081</v>
      </c>
      <c r="C397" t="s">
        <v>1082</v>
      </c>
      <c r="D397" t="s">
        <v>1315</v>
      </c>
      <c r="E397">
        <v>29</v>
      </c>
      <c r="F397" t="str">
        <f t="shared" si="18"/>
        <v>adult</v>
      </c>
      <c r="G397" t="s">
        <v>533</v>
      </c>
      <c r="H397" t="str">
        <f t="shared" si="19"/>
        <v>Aug</v>
      </c>
      <c r="I397" t="s">
        <v>26</v>
      </c>
      <c r="J397" t="s">
        <v>37</v>
      </c>
      <c r="K397" t="s">
        <v>62</v>
      </c>
      <c r="L397" t="s">
        <v>20</v>
      </c>
      <c r="M397">
        <v>5</v>
      </c>
      <c r="N397" t="str">
        <f t="shared" si="20"/>
        <v>high</v>
      </c>
      <c r="O397">
        <v>7330</v>
      </c>
      <c r="P397" t="s">
        <v>40</v>
      </c>
      <c r="Q397" t="s">
        <v>22</v>
      </c>
    </row>
    <row r="398" spans="1:17" x14ac:dyDescent="0.35">
      <c r="A398">
        <v>397</v>
      </c>
      <c r="B398" t="s">
        <v>1083</v>
      </c>
      <c r="C398" t="s">
        <v>1084</v>
      </c>
      <c r="D398" t="s">
        <v>1316</v>
      </c>
      <c r="E398">
        <v>27</v>
      </c>
      <c r="F398" t="str">
        <f t="shared" si="18"/>
        <v>adult</v>
      </c>
      <c r="G398" t="s">
        <v>61</v>
      </c>
      <c r="H398" t="str">
        <f t="shared" si="19"/>
        <v>Feb</v>
      </c>
      <c r="I398" t="s">
        <v>31</v>
      </c>
      <c r="J398" t="s">
        <v>37</v>
      </c>
      <c r="K398" t="s">
        <v>19</v>
      </c>
      <c r="L398" t="s">
        <v>20</v>
      </c>
      <c r="M398">
        <v>4</v>
      </c>
      <c r="N398" t="str">
        <f t="shared" si="20"/>
        <v>high</v>
      </c>
      <c r="O398">
        <v>6436</v>
      </c>
      <c r="P398" t="s">
        <v>33</v>
      </c>
      <c r="Q398" t="s">
        <v>33</v>
      </c>
    </row>
    <row r="399" spans="1:17" x14ac:dyDescent="0.35">
      <c r="A399">
        <v>398</v>
      </c>
      <c r="B399" t="s">
        <v>1085</v>
      </c>
      <c r="C399" t="s">
        <v>1086</v>
      </c>
      <c r="D399" t="s">
        <v>1315</v>
      </c>
      <c r="E399">
        <v>20</v>
      </c>
      <c r="F399" t="str">
        <f t="shared" si="18"/>
        <v>teen</v>
      </c>
      <c r="G399" t="s">
        <v>515</v>
      </c>
      <c r="H399" t="str">
        <f t="shared" si="19"/>
        <v>Jan</v>
      </c>
      <c r="I399" t="s">
        <v>26</v>
      </c>
      <c r="J399" t="s">
        <v>56</v>
      </c>
      <c r="K399" t="s">
        <v>49</v>
      </c>
      <c r="L399" t="s">
        <v>66</v>
      </c>
      <c r="M399">
        <v>3</v>
      </c>
      <c r="N399" t="str">
        <f t="shared" si="20"/>
        <v>low</v>
      </c>
      <c r="O399">
        <v>2316</v>
      </c>
      <c r="P399" t="s">
        <v>79</v>
      </c>
      <c r="Q399" t="s">
        <v>80</v>
      </c>
    </row>
    <row r="400" spans="1:17" x14ac:dyDescent="0.35">
      <c r="A400">
        <v>399</v>
      </c>
      <c r="B400" t="s">
        <v>1087</v>
      </c>
      <c r="C400" t="s">
        <v>1088</v>
      </c>
      <c r="D400" t="s">
        <v>1316</v>
      </c>
      <c r="E400">
        <v>30</v>
      </c>
      <c r="F400" t="str">
        <f t="shared" si="18"/>
        <v>adult</v>
      </c>
      <c r="G400" t="s">
        <v>385</v>
      </c>
      <c r="H400" t="str">
        <f t="shared" si="19"/>
        <v>Nov</v>
      </c>
      <c r="I400" t="s">
        <v>26</v>
      </c>
      <c r="J400" t="s">
        <v>18</v>
      </c>
      <c r="K400" t="s">
        <v>49</v>
      </c>
      <c r="L400" t="s">
        <v>39</v>
      </c>
      <c r="M400">
        <v>1</v>
      </c>
      <c r="N400" t="str">
        <f t="shared" si="20"/>
        <v>low</v>
      </c>
      <c r="O400">
        <v>2415</v>
      </c>
      <c r="P400" t="s">
        <v>57</v>
      </c>
      <c r="Q400" t="s">
        <v>58</v>
      </c>
    </row>
    <row r="401" spans="1:17" x14ac:dyDescent="0.35">
      <c r="A401">
        <v>400</v>
      </c>
      <c r="B401" t="s">
        <v>1089</v>
      </c>
      <c r="C401" t="s">
        <v>1090</v>
      </c>
      <c r="D401" t="s">
        <v>1315</v>
      </c>
      <c r="E401">
        <v>43</v>
      </c>
      <c r="F401" t="str">
        <f t="shared" si="18"/>
        <v>adult</v>
      </c>
      <c r="G401" t="s">
        <v>735</v>
      </c>
      <c r="H401" t="str">
        <f t="shared" si="19"/>
        <v>Dec</v>
      </c>
      <c r="I401" t="s">
        <v>31</v>
      </c>
      <c r="J401" t="s">
        <v>56</v>
      </c>
      <c r="K401" t="s">
        <v>49</v>
      </c>
      <c r="L401" t="s">
        <v>32</v>
      </c>
      <c r="M401">
        <v>2</v>
      </c>
      <c r="N401" t="str">
        <f t="shared" si="20"/>
        <v>low</v>
      </c>
      <c r="O401">
        <v>2734</v>
      </c>
      <c r="P401" t="s">
        <v>21</v>
      </c>
      <c r="Q401" t="s">
        <v>22</v>
      </c>
    </row>
    <row r="402" spans="1:17" x14ac:dyDescent="0.35">
      <c r="A402">
        <v>401</v>
      </c>
      <c r="B402" t="s">
        <v>1091</v>
      </c>
      <c r="C402" t="s">
        <v>1092</v>
      </c>
      <c r="D402" t="s">
        <v>1315</v>
      </c>
      <c r="E402">
        <v>26</v>
      </c>
      <c r="F402" t="str">
        <f t="shared" si="18"/>
        <v>adult</v>
      </c>
      <c r="G402" t="s">
        <v>918</v>
      </c>
      <c r="H402" t="str">
        <f t="shared" si="19"/>
        <v>Dec</v>
      </c>
      <c r="I402" t="s">
        <v>31</v>
      </c>
      <c r="J402" t="s">
        <v>37</v>
      </c>
      <c r="K402" t="s">
        <v>49</v>
      </c>
      <c r="L402" t="s">
        <v>39</v>
      </c>
      <c r="M402">
        <v>4</v>
      </c>
      <c r="N402" t="str">
        <f t="shared" si="20"/>
        <v>high</v>
      </c>
      <c r="O402">
        <v>8760</v>
      </c>
      <c r="P402" t="s">
        <v>40</v>
      </c>
      <c r="Q402" t="s">
        <v>22</v>
      </c>
    </row>
    <row r="403" spans="1:17" x14ac:dyDescent="0.35">
      <c r="A403">
        <v>402</v>
      </c>
      <c r="B403" t="s">
        <v>1093</v>
      </c>
      <c r="C403" t="s">
        <v>1094</v>
      </c>
      <c r="D403" t="s">
        <v>1315</v>
      </c>
      <c r="E403">
        <v>55</v>
      </c>
      <c r="F403" t="str">
        <f t="shared" si="18"/>
        <v>senior</v>
      </c>
      <c r="G403" t="s">
        <v>776</v>
      </c>
      <c r="H403" t="str">
        <f t="shared" si="19"/>
        <v>Jan</v>
      </c>
      <c r="I403" t="s">
        <v>31</v>
      </c>
      <c r="J403" t="s">
        <v>56</v>
      </c>
      <c r="K403" t="s">
        <v>62</v>
      </c>
      <c r="L403" t="s">
        <v>39</v>
      </c>
      <c r="M403">
        <v>1</v>
      </c>
      <c r="N403" t="str">
        <f t="shared" si="20"/>
        <v>low</v>
      </c>
      <c r="O403">
        <v>2836</v>
      </c>
      <c r="P403" t="s">
        <v>44</v>
      </c>
      <c r="Q403" t="s">
        <v>45</v>
      </c>
    </row>
    <row r="404" spans="1:17" x14ac:dyDescent="0.35">
      <c r="A404">
        <v>403</v>
      </c>
      <c r="B404" t="s">
        <v>1095</v>
      </c>
      <c r="C404" t="s">
        <v>1096</v>
      </c>
      <c r="D404" t="s">
        <v>1316</v>
      </c>
      <c r="E404">
        <v>31</v>
      </c>
      <c r="F404" t="str">
        <f t="shared" si="18"/>
        <v>adult</v>
      </c>
      <c r="G404" t="s">
        <v>510</v>
      </c>
      <c r="H404" t="str">
        <f t="shared" si="19"/>
        <v>Jun</v>
      </c>
      <c r="I404" t="s">
        <v>17</v>
      </c>
      <c r="J404" t="s">
        <v>37</v>
      </c>
      <c r="K404" t="s">
        <v>49</v>
      </c>
      <c r="L404" t="s">
        <v>20</v>
      </c>
      <c r="M404">
        <v>4</v>
      </c>
      <c r="N404" t="str">
        <f t="shared" si="20"/>
        <v>high</v>
      </c>
      <c r="O404">
        <v>4972</v>
      </c>
      <c r="P404" t="s">
        <v>99</v>
      </c>
      <c r="Q404" t="s">
        <v>100</v>
      </c>
    </row>
    <row r="405" spans="1:17" x14ac:dyDescent="0.35">
      <c r="A405">
        <v>404</v>
      </c>
      <c r="B405" t="s">
        <v>1097</v>
      </c>
      <c r="C405" t="s">
        <v>1098</v>
      </c>
      <c r="D405" t="s">
        <v>1316</v>
      </c>
      <c r="E405">
        <v>27</v>
      </c>
      <c r="F405" t="str">
        <f t="shared" si="18"/>
        <v>adult</v>
      </c>
      <c r="G405" t="s">
        <v>1099</v>
      </c>
      <c r="H405" t="str">
        <f t="shared" si="19"/>
        <v>Oct</v>
      </c>
      <c r="I405" t="s">
        <v>17</v>
      </c>
      <c r="J405" t="s">
        <v>37</v>
      </c>
      <c r="K405" t="s">
        <v>49</v>
      </c>
      <c r="L405" t="s">
        <v>39</v>
      </c>
      <c r="M405">
        <v>3</v>
      </c>
      <c r="N405" t="str">
        <f t="shared" si="20"/>
        <v>high</v>
      </c>
      <c r="O405">
        <v>8952</v>
      </c>
      <c r="P405" t="s">
        <v>40</v>
      </c>
      <c r="Q405" t="s">
        <v>22</v>
      </c>
    </row>
    <row r="406" spans="1:17" x14ac:dyDescent="0.35">
      <c r="A406">
        <v>405</v>
      </c>
      <c r="B406" t="s">
        <v>1100</v>
      </c>
      <c r="C406" t="s">
        <v>1101</v>
      </c>
      <c r="D406" t="s">
        <v>1315</v>
      </c>
      <c r="E406">
        <v>30</v>
      </c>
      <c r="F406" t="str">
        <f t="shared" si="18"/>
        <v>adult</v>
      </c>
      <c r="G406" t="s">
        <v>803</v>
      </c>
      <c r="H406" t="str">
        <f t="shared" si="19"/>
        <v>Sep</v>
      </c>
      <c r="I406" t="s">
        <v>26</v>
      </c>
      <c r="J406" t="s">
        <v>18</v>
      </c>
      <c r="K406" t="s">
        <v>62</v>
      </c>
      <c r="L406" t="s">
        <v>66</v>
      </c>
      <c r="M406">
        <v>2</v>
      </c>
      <c r="N406" t="str">
        <f t="shared" si="20"/>
        <v>high</v>
      </c>
      <c r="O406">
        <v>4198</v>
      </c>
      <c r="P406" t="s">
        <v>44</v>
      </c>
      <c r="Q406" t="s">
        <v>45</v>
      </c>
    </row>
    <row r="407" spans="1:17" x14ac:dyDescent="0.35">
      <c r="A407">
        <v>406</v>
      </c>
      <c r="B407" t="s">
        <v>1102</v>
      </c>
      <c r="C407" t="s">
        <v>1103</v>
      </c>
      <c r="D407" t="s">
        <v>1316</v>
      </c>
      <c r="E407">
        <v>53</v>
      </c>
      <c r="F407" t="str">
        <f t="shared" si="18"/>
        <v>senior</v>
      </c>
      <c r="G407" t="s">
        <v>713</v>
      </c>
      <c r="H407" t="str">
        <f t="shared" si="19"/>
        <v>Mar</v>
      </c>
      <c r="I407" t="s">
        <v>31</v>
      </c>
      <c r="J407" t="s">
        <v>18</v>
      </c>
      <c r="K407" t="s">
        <v>62</v>
      </c>
      <c r="L407" t="s">
        <v>39</v>
      </c>
      <c r="M407">
        <v>4</v>
      </c>
      <c r="N407" t="str">
        <f t="shared" si="20"/>
        <v>high</v>
      </c>
      <c r="O407">
        <v>5544</v>
      </c>
      <c r="P407" t="s">
        <v>33</v>
      </c>
      <c r="Q407" t="s">
        <v>33</v>
      </c>
    </row>
    <row r="408" spans="1:17" x14ac:dyDescent="0.35">
      <c r="A408">
        <v>407</v>
      </c>
      <c r="B408" t="s">
        <v>1104</v>
      </c>
      <c r="C408" t="s">
        <v>1105</v>
      </c>
      <c r="D408" t="s">
        <v>1315</v>
      </c>
      <c r="E408">
        <v>38</v>
      </c>
      <c r="F408" t="str">
        <f t="shared" si="18"/>
        <v>adult</v>
      </c>
      <c r="G408" t="s">
        <v>1106</v>
      </c>
      <c r="H408" t="str">
        <f t="shared" si="19"/>
        <v>Feb</v>
      </c>
      <c r="I408" t="s">
        <v>17</v>
      </c>
      <c r="J408" t="s">
        <v>18</v>
      </c>
      <c r="K408" t="s">
        <v>62</v>
      </c>
      <c r="L408" t="s">
        <v>32</v>
      </c>
      <c r="M408">
        <v>4</v>
      </c>
      <c r="N408" t="str">
        <f t="shared" si="20"/>
        <v>high</v>
      </c>
      <c r="O408">
        <v>10176</v>
      </c>
      <c r="P408" t="s">
        <v>40</v>
      </c>
      <c r="Q408" t="s">
        <v>22</v>
      </c>
    </row>
    <row r="409" spans="1:17" x14ac:dyDescent="0.35">
      <c r="A409">
        <v>408</v>
      </c>
      <c r="B409" t="s">
        <v>1107</v>
      </c>
      <c r="C409" t="s">
        <v>1108</v>
      </c>
      <c r="D409" t="s">
        <v>1315</v>
      </c>
      <c r="E409">
        <v>49</v>
      </c>
      <c r="F409" t="str">
        <f t="shared" si="18"/>
        <v>senior</v>
      </c>
      <c r="G409" t="s">
        <v>668</v>
      </c>
      <c r="H409" t="str">
        <f t="shared" si="19"/>
        <v>Jan</v>
      </c>
      <c r="I409" t="s">
        <v>31</v>
      </c>
      <c r="J409" t="s">
        <v>37</v>
      </c>
      <c r="K409" t="s">
        <v>62</v>
      </c>
      <c r="L409" t="s">
        <v>20</v>
      </c>
      <c r="M409">
        <v>4</v>
      </c>
      <c r="N409" t="str">
        <f t="shared" si="20"/>
        <v>high</v>
      </c>
      <c r="O409">
        <v>8460</v>
      </c>
      <c r="P409" t="s">
        <v>27</v>
      </c>
      <c r="Q409" t="s">
        <v>22</v>
      </c>
    </row>
    <row r="410" spans="1:17" x14ac:dyDescent="0.35">
      <c r="A410">
        <v>409</v>
      </c>
      <c r="B410" t="s">
        <v>1109</v>
      </c>
      <c r="C410" t="s">
        <v>1110</v>
      </c>
      <c r="D410" t="s">
        <v>1315</v>
      </c>
      <c r="E410">
        <v>48</v>
      </c>
      <c r="F410" t="str">
        <f t="shared" si="18"/>
        <v>senior</v>
      </c>
      <c r="G410" t="s">
        <v>1111</v>
      </c>
      <c r="H410" t="str">
        <f t="shared" si="19"/>
        <v>May</v>
      </c>
      <c r="I410" t="s">
        <v>31</v>
      </c>
      <c r="J410" t="s">
        <v>37</v>
      </c>
      <c r="K410" t="s">
        <v>38</v>
      </c>
      <c r="L410" t="s">
        <v>39</v>
      </c>
      <c r="M410">
        <v>4</v>
      </c>
      <c r="N410" t="str">
        <f t="shared" si="20"/>
        <v>high</v>
      </c>
      <c r="O410">
        <v>6788</v>
      </c>
      <c r="P410" t="s">
        <v>79</v>
      </c>
      <c r="Q410" t="s">
        <v>80</v>
      </c>
    </row>
    <row r="411" spans="1:17" x14ac:dyDescent="0.35">
      <c r="A411">
        <v>410</v>
      </c>
      <c r="B411" t="s">
        <v>1112</v>
      </c>
      <c r="C411" t="s">
        <v>1113</v>
      </c>
      <c r="D411" t="s">
        <v>1316</v>
      </c>
      <c r="E411">
        <v>18</v>
      </c>
      <c r="F411" t="str">
        <f t="shared" si="18"/>
        <v>teen</v>
      </c>
      <c r="G411" t="s">
        <v>544</v>
      </c>
      <c r="H411" t="str">
        <f t="shared" si="19"/>
        <v>Aug</v>
      </c>
      <c r="I411" t="s">
        <v>31</v>
      </c>
      <c r="J411" t="s">
        <v>37</v>
      </c>
      <c r="K411" t="s">
        <v>49</v>
      </c>
      <c r="L411" t="s">
        <v>66</v>
      </c>
      <c r="M411">
        <v>4</v>
      </c>
      <c r="N411" t="str">
        <f t="shared" si="20"/>
        <v>high</v>
      </c>
      <c r="O411">
        <v>5408</v>
      </c>
      <c r="P411" t="s">
        <v>27</v>
      </c>
      <c r="Q411" t="s">
        <v>22</v>
      </c>
    </row>
    <row r="412" spans="1:17" x14ac:dyDescent="0.35">
      <c r="A412">
        <v>411</v>
      </c>
      <c r="B412" t="s">
        <v>1114</v>
      </c>
      <c r="C412" t="s">
        <v>1115</v>
      </c>
      <c r="D412" t="s">
        <v>1315</v>
      </c>
      <c r="E412">
        <v>21</v>
      </c>
      <c r="F412" t="str">
        <f t="shared" si="18"/>
        <v>teen</v>
      </c>
      <c r="G412" t="s">
        <v>1007</v>
      </c>
      <c r="H412" t="str">
        <f t="shared" si="19"/>
        <v>Mar</v>
      </c>
      <c r="I412" t="s">
        <v>26</v>
      </c>
      <c r="J412" t="s">
        <v>18</v>
      </c>
      <c r="K412" t="s">
        <v>62</v>
      </c>
      <c r="L412" t="s">
        <v>66</v>
      </c>
      <c r="M412">
        <v>2</v>
      </c>
      <c r="N412" t="str">
        <f t="shared" si="20"/>
        <v>low</v>
      </c>
      <c r="O412">
        <v>1330</v>
      </c>
      <c r="P412" t="s">
        <v>21</v>
      </c>
      <c r="Q412" t="s">
        <v>22</v>
      </c>
    </row>
    <row r="413" spans="1:17" x14ac:dyDescent="0.35">
      <c r="A413">
        <v>412</v>
      </c>
      <c r="B413" t="s">
        <v>1116</v>
      </c>
      <c r="C413" t="s">
        <v>1117</v>
      </c>
      <c r="D413" t="s">
        <v>1316</v>
      </c>
      <c r="E413">
        <v>20</v>
      </c>
      <c r="F413" t="str">
        <f t="shared" si="18"/>
        <v>teen</v>
      </c>
      <c r="G413" t="s">
        <v>476</v>
      </c>
      <c r="H413" t="str">
        <f t="shared" si="19"/>
        <v>Aug</v>
      </c>
      <c r="I413" t="s">
        <v>17</v>
      </c>
      <c r="J413" t="s">
        <v>18</v>
      </c>
      <c r="K413" t="s">
        <v>49</v>
      </c>
      <c r="L413" t="s">
        <v>66</v>
      </c>
      <c r="M413">
        <v>4</v>
      </c>
      <c r="N413" t="str">
        <f t="shared" si="20"/>
        <v>high</v>
      </c>
      <c r="O413">
        <v>5024</v>
      </c>
      <c r="P413" t="s">
        <v>33</v>
      </c>
      <c r="Q413" t="s">
        <v>33</v>
      </c>
    </row>
    <row r="414" spans="1:17" x14ac:dyDescent="0.35">
      <c r="A414">
        <v>413</v>
      </c>
      <c r="B414" t="s">
        <v>1118</v>
      </c>
      <c r="C414" t="s">
        <v>1119</v>
      </c>
      <c r="D414" t="s">
        <v>1316</v>
      </c>
      <c r="E414">
        <v>37</v>
      </c>
      <c r="F414" t="str">
        <f t="shared" si="18"/>
        <v>adult</v>
      </c>
      <c r="G414" t="s">
        <v>205</v>
      </c>
      <c r="H414" t="str">
        <f t="shared" si="19"/>
        <v>Nov</v>
      </c>
      <c r="I414" t="s">
        <v>26</v>
      </c>
      <c r="J414" t="s">
        <v>18</v>
      </c>
      <c r="K414" t="s">
        <v>62</v>
      </c>
      <c r="L414" t="s">
        <v>20</v>
      </c>
      <c r="M414">
        <v>3</v>
      </c>
      <c r="N414" t="str">
        <f t="shared" si="20"/>
        <v>high</v>
      </c>
      <c r="O414">
        <v>7725</v>
      </c>
      <c r="P414" t="s">
        <v>57</v>
      </c>
      <c r="Q414" t="s">
        <v>58</v>
      </c>
    </row>
    <row r="415" spans="1:17" x14ac:dyDescent="0.35">
      <c r="A415">
        <v>414</v>
      </c>
      <c r="B415" t="s">
        <v>1120</v>
      </c>
      <c r="C415" t="s">
        <v>1121</v>
      </c>
      <c r="D415" t="s">
        <v>1316</v>
      </c>
      <c r="E415">
        <v>58</v>
      </c>
      <c r="F415" t="str">
        <f t="shared" si="18"/>
        <v>senior</v>
      </c>
      <c r="G415" t="s">
        <v>599</v>
      </c>
      <c r="H415" t="str">
        <f t="shared" si="19"/>
        <v>Feb</v>
      </c>
      <c r="I415" t="s">
        <v>17</v>
      </c>
      <c r="J415" t="s">
        <v>18</v>
      </c>
      <c r="K415" t="s">
        <v>49</v>
      </c>
      <c r="L415" t="s">
        <v>66</v>
      </c>
      <c r="M415">
        <v>4</v>
      </c>
      <c r="N415" t="str">
        <f t="shared" si="20"/>
        <v>high</v>
      </c>
      <c r="O415">
        <v>8100</v>
      </c>
      <c r="P415" t="s">
        <v>27</v>
      </c>
      <c r="Q415" t="s">
        <v>22</v>
      </c>
    </row>
    <row r="416" spans="1:17" x14ac:dyDescent="0.35">
      <c r="A416">
        <v>415</v>
      </c>
      <c r="B416" t="s">
        <v>1122</v>
      </c>
      <c r="C416" t="s">
        <v>1123</v>
      </c>
      <c r="D416" t="s">
        <v>1316</v>
      </c>
      <c r="E416">
        <v>31</v>
      </c>
      <c r="F416" t="str">
        <f t="shared" si="18"/>
        <v>adult</v>
      </c>
      <c r="G416" t="s">
        <v>86</v>
      </c>
      <c r="H416" t="str">
        <f t="shared" si="19"/>
        <v>Jul</v>
      </c>
      <c r="I416" t="s">
        <v>31</v>
      </c>
      <c r="J416" t="s">
        <v>18</v>
      </c>
      <c r="K416" t="s">
        <v>38</v>
      </c>
      <c r="L416" t="s">
        <v>32</v>
      </c>
      <c r="M416">
        <v>5</v>
      </c>
      <c r="N416" t="str">
        <f t="shared" si="20"/>
        <v>high</v>
      </c>
      <c r="O416">
        <v>6985</v>
      </c>
      <c r="P416" t="s">
        <v>27</v>
      </c>
      <c r="Q416" t="s">
        <v>22</v>
      </c>
    </row>
    <row r="417" spans="1:17" x14ac:dyDescent="0.35">
      <c r="A417">
        <v>416</v>
      </c>
      <c r="B417" t="s">
        <v>1124</v>
      </c>
      <c r="C417" t="s">
        <v>1125</v>
      </c>
      <c r="D417" t="s">
        <v>1315</v>
      </c>
      <c r="E417">
        <v>34</v>
      </c>
      <c r="F417" t="str">
        <f t="shared" si="18"/>
        <v>adult</v>
      </c>
      <c r="G417" t="s">
        <v>191</v>
      </c>
      <c r="H417" t="str">
        <f t="shared" si="19"/>
        <v>May</v>
      </c>
      <c r="I417" t="s">
        <v>26</v>
      </c>
      <c r="J417" t="s">
        <v>37</v>
      </c>
      <c r="K417" t="s">
        <v>38</v>
      </c>
      <c r="L417" t="s">
        <v>39</v>
      </c>
      <c r="M417">
        <v>4</v>
      </c>
      <c r="N417" t="str">
        <f t="shared" si="20"/>
        <v>low</v>
      </c>
      <c r="O417">
        <v>2836</v>
      </c>
      <c r="P417" t="s">
        <v>21</v>
      </c>
      <c r="Q417" t="s">
        <v>22</v>
      </c>
    </row>
    <row r="418" spans="1:17" x14ac:dyDescent="0.35">
      <c r="A418">
        <v>417</v>
      </c>
      <c r="B418" t="s">
        <v>1126</v>
      </c>
      <c r="C418" t="s">
        <v>1127</v>
      </c>
      <c r="D418" t="s">
        <v>1315</v>
      </c>
      <c r="E418">
        <v>38</v>
      </c>
      <c r="F418" t="str">
        <f t="shared" si="18"/>
        <v>adult</v>
      </c>
      <c r="G418" t="s">
        <v>1128</v>
      </c>
      <c r="H418" t="str">
        <f t="shared" si="19"/>
        <v>Mar</v>
      </c>
      <c r="I418" t="s">
        <v>17</v>
      </c>
      <c r="J418" t="s">
        <v>56</v>
      </c>
      <c r="K418" t="s">
        <v>19</v>
      </c>
      <c r="L418" t="s">
        <v>32</v>
      </c>
      <c r="M418">
        <v>5</v>
      </c>
      <c r="N418" t="str">
        <f t="shared" si="20"/>
        <v>high</v>
      </c>
      <c r="O418">
        <v>5225</v>
      </c>
      <c r="P418" t="s">
        <v>27</v>
      </c>
      <c r="Q418" t="s">
        <v>22</v>
      </c>
    </row>
    <row r="419" spans="1:17" x14ac:dyDescent="0.35">
      <c r="A419">
        <v>418</v>
      </c>
      <c r="B419" t="s">
        <v>1129</v>
      </c>
      <c r="C419" t="s">
        <v>1130</v>
      </c>
      <c r="D419" t="s">
        <v>1315</v>
      </c>
      <c r="E419">
        <v>18</v>
      </c>
      <c r="F419" t="str">
        <f t="shared" si="18"/>
        <v>teen</v>
      </c>
      <c r="G419" t="s">
        <v>1131</v>
      </c>
      <c r="H419" t="str">
        <f t="shared" si="19"/>
        <v>Dec</v>
      </c>
      <c r="I419" t="s">
        <v>31</v>
      </c>
      <c r="J419" t="s">
        <v>56</v>
      </c>
      <c r="K419" t="s">
        <v>62</v>
      </c>
      <c r="L419" t="s">
        <v>66</v>
      </c>
      <c r="M419">
        <v>4</v>
      </c>
      <c r="N419" t="str">
        <f t="shared" si="20"/>
        <v>high</v>
      </c>
      <c r="O419">
        <v>6184</v>
      </c>
      <c r="P419" t="s">
        <v>57</v>
      </c>
      <c r="Q419" t="s">
        <v>58</v>
      </c>
    </row>
    <row r="420" spans="1:17" x14ac:dyDescent="0.35">
      <c r="A420">
        <v>419</v>
      </c>
      <c r="B420" t="s">
        <v>1132</v>
      </c>
      <c r="C420" t="s">
        <v>1133</v>
      </c>
      <c r="D420" t="s">
        <v>1316</v>
      </c>
      <c r="E420">
        <v>35</v>
      </c>
      <c r="F420" t="str">
        <f t="shared" si="18"/>
        <v>adult</v>
      </c>
      <c r="G420" t="s">
        <v>986</v>
      </c>
      <c r="H420" t="str">
        <f t="shared" si="19"/>
        <v>Apr</v>
      </c>
      <c r="I420" t="s">
        <v>17</v>
      </c>
      <c r="J420" t="s">
        <v>56</v>
      </c>
      <c r="K420" t="s">
        <v>19</v>
      </c>
      <c r="L420" t="s">
        <v>20</v>
      </c>
      <c r="M420">
        <v>5</v>
      </c>
      <c r="N420" t="str">
        <f t="shared" si="20"/>
        <v>high</v>
      </c>
      <c r="O420">
        <v>3985</v>
      </c>
      <c r="P420" t="s">
        <v>21</v>
      </c>
      <c r="Q420" t="s">
        <v>22</v>
      </c>
    </row>
    <row r="421" spans="1:17" x14ac:dyDescent="0.35">
      <c r="A421">
        <v>420</v>
      </c>
      <c r="B421" t="s">
        <v>1134</v>
      </c>
      <c r="C421" t="s">
        <v>1135</v>
      </c>
      <c r="D421" t="s">
        <v>1315</v>
      </c>
      <c r="E421">
        <v>53</v>
      </c>
      <c r="F421" t="str">
        <f t="shared" si="18"/>
        <v>senior</v>
      </c>
      <c r="G421" t="s">
        <v>716</v>
      </c>
      <c r="H421" t="str">
        <f t="shared" si="19"/>
        <v>Jul</v>
      </c>
      <c r="I421" t="s">
        <v>31</v>
      </c>
      <c r="J421" t="s">
        <v>37</v>
      </c>
      <c r="K421" t="s">
        <v>19</v>
      </c>
      <c r="L421" t="s">
        <v>20</v>
      </c>
      <c r="M421">
        <v>5</v>
      </c>
      <c r="N421" t="str">
        <f t="shared" si="20"/>
        <v>high</v>
      </c>
      <c r="O421">
        <v>12965</v>
      </c>
      <c r="P421" t="s">
        <v>27</v>
      </c>
      <c r="Q421" t="s">
        <v>22</v>
      </c>
    </row>
    <row r="422" spans="1:17" x14ac:dyDescent="0.35">
      <c r="A422">
        <v>421</v>
      </c>
      <c r="B422" t="s">
        <v>1136</v>
      </c>
      <c r="C422" t="s">
        <v>1137</v>
      </c>
      <c r="D422" t="s">
        <v>1315</v>
      </c>
      <c r="E422">
        <v>56</v>
      </c>
      <c r="F422" t="str">
        <f t="shared" si="18"/>
        <v>senior</v>
      </c>
      <c r="G422" t="s">
        <v>1138</v>
      </c>
      <c r="H422" t="str">
        <f t="shared" si="19"/>
        <v>Sep</v>
      </c>
      <c r="I422" t="s">
        <v>31</v>
      </c>
      <c r="J422" t="s">
        <v>56</v>
      </c>
      <c r="K422" t="s">
        <v>49</v>
      </c>
      <c r="L422" t="s">
        <v>39</v>
      </c>
      <c r="M422">
        <v>1</v>
      </c>
      <c r="N422" t="str">
        <f t="shared" si="20"/>
        <v>low</v>
      </c>
      <c r="O422">
        <v>744</v>
      </c>
      <c r="P422" t="s">
        <v>44</v>
      </c>
      <c r="Q422" t="s">
        <v>45</v>
      </c>
    </row>
    <row r="423" spans="1:17" x14ac:dyDescent="0.35">
      <c r="A423">
        <v>422</v>
      </c>
      <c r="B423" t="s">
        <v>1139</v>
      </c>
      <c r="C423" t="s">
        <v>1140</v>
      </c>
      <c r="D423" t="s">
        <v>1315</v>
      </c>
      <c r="E423">
        <v>58</v>
      </c>
      <c r="F423" t="str">
        <f t="shared" si="18"/>
        <v>senior</v>
      </c>
      <c r="G423" t="s">
        <v>257</v>
      </c>
      <c r="H423" t="str">
        <f t="shared" si="19"/>
        <v>May</v>
      </c>
      <c r="I423" t="s">
        <v>17</v>
      </c>
      <c r="J423" t="s">
        <v>37</v>
      </c>
      <c r="K423" t="s">
        <v>38</v>
      </c>
      <c r="L423" t="s">
        <v>66</v>
      </c>
      <c r="M423">
        <v>3</v>
      </c>
      <c r="N423" t="str">
        <f t="shared" si="20"/>
        <v>high</v>
      </c>
      <c r="O423">
        <v>4443</v>
      </c>
      <c r="P423" t="s">
        <v>40</v>
      </c>
      <c r="Q423" t="s">
        <v>22</v>
      </c>
    </row>
    <row r="424" spans="1:17" x14ac:dyDescent="0.35">
      <c r="A424">
        <v>423</v>
      </c>
      <c r="B424" t="s">
        <v>1141</v>
      </c>
      <c r="C424" t="s">
        <v>1142</v>
      </c>
      <c r="D424" t="s">
        <v>1316</v>
      </c>
      <c r="E424">
        <v>59</v>
      </c>
      <c r="F424" t="str">
        <f t="shared" si="18"/>
        <v>senior</v>
      </c>
      <c r="G424" t="s">
        <v>526</v>
      </c>
      <c r="H424" t="str">
        <f t="shared" si="19"/>
        <v>Mar</v>
      </c>
      <c r="I424" t="s">
        <v>26</v>
      </c>
      <c r="J424" t="s">
        <v>18</v>
      </c>
      <c r="K424" t="s">
        <v>62</v>
      </c>
      <c r="L424" t="s">
        <v>39</v>
      </c>
      <c r="M424">
        <v>4</v>
      </c>
      <c r="N424" t="str">
        <f t="shared" si="20"/>
        <v>high</v>
      </c>
      <c r="O424">
        <v>7772</v>
      </c>
      <c r="P424" t="s">
        <v>79</v>
      </c>
      <c r="Q424" t="s">
        <v>80</v>
      </c>
    </row>
    <row r="425" spans="1:17" x14ac:dyDescent="0.35">
      <c r="A425">
        <v>424</v>
      </c>
      <c r="B425" t="s">
        <v>1143</v>
      </c>
      <c r="C425" t="s">
        <v>1144</v>
      </c>
      <c r="D425" t="s">
        <v>1315</v>
      </c>
      <c r="E425">
        <v>32</v>
      </c>
      <c r="F425" t="str">
        <f t="shared" si="18"/>
        <v>adult</v>
      </c>
      <c r="G425" t="s">
        <v>776</v>
      </c>
      <c r="H425" t="str">
        <f t="shared" si="19"/>
        <v>Jan</v>
      </c>
      <c r="I425" t="s">
        <v>26</v>
      </c>
      <c r="J425" t="s">
        <v>18</v>
      </c>
      <c r="K425" t="s">
        <v>49</v>
      </c>
      <c r="L425" t="s">
        <v>20</v>
      </c>
      <c r="M425">
        <v>3</v>
      </c>
      <c r="N425" t="str">
        <f t="shared" si="20"/>
        <v>low</v>
      </c>
      <c r="O425">
        <v>2085</v>
      </c>
      <c r="P425" t="s">
        <v>44</v>
      </c>
      <c r="Q425" t="s">
        <v>45</v>
      </c>
    </row>
    <row r="426" spans="1:17" x14ac:dyDescent="0.35">
      <c r="A426">
        <v>425</v>
      </c>
      <c r="B426" t="s">
        <v>1145</v>
      </c>
      <c r="C426" t="s">
        <v>1146</v>
      </c>
      <c r="D426" t="s">
        <v>1315</v>
      </c>
      <c r="E426">
        <v>22</v>
      </c>
      <c r="F426" t="str">
        <f t="shared" si="18"/>
        <v>teen</v>
      </c>
      <c r="G426" t="s">
        <v>760</v>
      </c>
      <c r="H426" t="str">
        <f t="shared" si="19"/>
        <v>Mar</v>
      </c>
      <c r="I426" t="s">
        <v>31</v>
      </c>
      <c r="J426" t="s">
        <v>56</v>
      </c>
      <c r="K426" t="s">
        <v>49</v>
      </c>
      <c r="L426" t="s">
        <v>20</v>
      </c>
      <c r="M426">
        <v>1</v>
      </c>
      <c r="N426" t="str">
        <f t="shared" si="20"/>
        <v>low</v>
      </c>
      <c r="O426">
        <v>2903</v>
      </c>
      <c r="P426" t="s">
        <v>21</v>
      </c>
      <c r="Q426" t="s">
        <v>22</v>
      </c>
    </row>
    <row r="427" spans="1:17" x14ac:dyDescent="0.35">
      <c r="A427">
        <v>426</v>
      </c>
      <c r="B427" t="s">
        <v>1147</v>
      </c>
      <c r="C427" t="s">
        <v>1148</v>
      </c>
      <c r="D427" t="s">
        <v>1315</v>
      </c>
      <c r="E427">
        <v>55</v>
      </c>
      <c r="F427" t="str">
        <f t="shared" si="18"/>
        <v>senior</v>
      </c>
      <c r="G427" t="s">
        <v>1149</v>
      </c>
      <c r="H427" t="str">
        <f t="shared" si="19"/>
        <v>Oct</v>
      </c>
      <c r="I427" t="s">
        <v>17</v>
      </c>
      <c r="J427" t="s">
        <v>37</v>
      </c>
      <c r="K427" t="s">
        <v>38</v>
      </c>
      <c r="L427" t="s">
        <v>39</v>
      </c>
      <c r="M427">
        <v>2</v>
      </c>
      <c r="N427" t="str">
        <f t="shared" si="20"/>
        <v>high</v>
      </c>
      <c r="O427">
        <v>5212</v>
      </c>
      <c r="P427" t="s">
        <v>40</v>
      </c>
      <c r="Q427" t="s">
        <v>22</v>
      </c>
    </row>
    <row r="428" spans="1:17" x14ac:dyDescent="0.35">
      <c r="A428">
        <v>427</v>
      </c>
      <c r="B428" t="s">
        <v>1150</v>
      </c>
      <c r="C428" t="s">
        <v>1151</v>
      </c>
      <c r="D428" t="s">
        <v>1316</v>
      </c>
      <c r="E428">
        <v>60</v>
      </c>
      <c r="F428" t="str">
        <f t="shared" si="18"/>
        <v>senior</v>
      </c>
      <c r="G428" t="s">
        <v>958</v>
      </c>
      <c r="H428" t="str">
        <f t="shared" si="19"/>
        <v>Jan</v>
      </c>
      <c r="I428" t="s">
        <v>26</v>
      </c>
      <c r="J428" t="s">
        <v>37</v>
      </c>
      <c r="K428" t="s">
        <v>38</v>
      </c>
      <c r="L428" t="s">
        <v>32</v>
      </c>
      <c r="M428">
        <v>2</v>
      </c>
      <c r="N428" t="str">
        <f t="shared" si="20"/>
        <v>low</v>
      </c>
      <c r="O428">
        <v>2800</v>
      </c>
      <c r="P428" t="s">
        <v>99</v>
      </c>
      <c r="Q428" t="s">
        <v>100</v>
      </c>
    </row>
    <row r="429" spans="1:17" x14ac:dyDescent="0.35">
      <c r="A429">
        <v>428</v>
      </c>
      <c r="B429" t="s">
        <v>1152</v>
      </c>
      <c r="C429" t="s">
        <v>1153</v>
      </c>
      <c r="D429" t="s">
        <v>1315</v>
      </c>
      <c r="E429">
        <v>34</v>
      </c>
      <c r="F429" t="str">
        <f t="shared" si="18"/>
        <v>adult</v>
      </c>
      <c r="G429" t="s">
        <v>518</v>
      </c>
      <c r="H429" t="str">
        <f t="shared" si="19"/>
        <v>Feb</v>
      </c>
      <c r="I429" t="s">
        <v>26</v>
      </c>
      <c r="J429" t="s">
        <v>18</v>
      </c>
      <c r="K429" t="s">
        <v>19</v>
      </c>
      <c r="L429" t="s">
        <v>39</v>
      </c>
      <c r="M429">
        <v>4</v>
      </c>
      <c r="N429" t="str">
        <f t="shared" si="20"/>
        <v>high</v>
      </c>
      <c r="O429">
        <v>11072</v>
      </c>
      <c r="P429" t="s">
        <v>40</v>
      </c>
      <c r="Q429" t="s">
        <v>22</v>
      </c>
    </row>
    <row r="430" spans="1:17" x14ac:dyDescent="0.35">
      <c r="A430">
        <v>429</v>
      </c>
      <c r="B430" t="s">
        <v>1154</v>
      </c>
      <c r="C430" t="s">
        <v>1155</v>
      </c>
      <c r="D430" t="s">
        <v>1315</v>
      </c>
      <c r="E430">
        <v>58</v>
      </c>
      <c r="F430" t="str">
        <f t="shared" si="18"/>
        <v>senior</v>
      </c>
      <c r="G430" t="s">
        <v>112</v>
      </c>
      <c r="H430" t="str">
        <f t="shared" si="19"/>
        <v>Jul</v>
      </c>
      <c r="I430" t="s">
        <v>31</v>
      </c>
      <c r="J430" t="s">
        <v>56</v>
      </c>
      <c r="K430" t="s">
        <v>62</v>
      </c>
      <c r="L430" t="s">
        <v>66</v>
      </c>
      <c r="M430">
        <v>5</v>
      </c>
      <c r="N430" t="str">
        <f t="shared" si="20"/>
        <v>high</v>
      </c>
      <c r="O430">
        <v>9785</v>
      </c>
      <c r="P430" t="s">
        <v>21</v>
      </c>
      <c r="Q430" t="s">
        <v>22</v>
      </c>
    </row>
    <row r="431" spans="1:17" x14ac:dyDescent="0.35">
      <c r="A431">
        <v>430</v>
      </c>
      <c r="B431" t="s">
        <v>1156</v>
      </c>
      <c r="C431" t="s">
        <v>1157</v>
      </c>
      <c r="D431" t="s">
        <v>1316</v>
      </c>
      <c r="E431">
        <v>44</v>
      </c>
      <c r="F431" t="str">
        <f t="shared" si="18"/>
        <v>adult</v>
      </c>
      <c r="G431" t="s">
        <v>1060</v>
      </c>
      <c r="H431" t="str">
        <f t="shared" si="19"/>
        <v>Jan</v>
      </c>
      <c r="I431" t="s">
        <v>17</v>
      </c>
      <c r="J431" t="s">
        <v>56</v>
      </c>
      <c r="K431" t="s">
        <v>19</v>
      </c>
      <c r="L431" t="s">
        <v>66</v>
      </c>
      <c r="M431">
        <v>4</v>
      </c>
      <c r="N431" t="str">
        <f t="shared" si="20"/>
        <v>high</v>
      </c>
      <c r="O431">
        <v>4992</v>
      </c>
      <c r="P431" t="s">
        <v>57</v>
      </c>
      <c r="Q431" t="s">
        <v>58</v>
      </c>
    </row>
    <row r="432" spans="1:17" x14ac:dyDescent="0.35">
      <c r="A432">
        <v>431</v>
      </c>
      <c r="B432" t="s">
        <v>1158</v>
      </c>
      <c r="C432" t="s">
        <v>1159</v>
      </c>
      <c r="D432" t="s">
        <v>1315</v>
      </c>
      <c r="E432">
        <v>29</v>
      </c>
      <c r="F432" t="str">
        <f t="shared" si="18"/>
        <v>adult</v>
      </c>
      <c r="G432" t="s">
        <v>103</v>
      </c>
      <c r="H432" t="str">
        <f t="shared" si="19"/>
        <v>Oct</v>
      </c>
      <c r="I432" t="s">
        <v>31</v>
      </c>
      <c r="J432" t="s">
        <v>56</v>
      </c>
      <c r="K432" t="s">
        <v>62</v>
      </c>
      <c r="L432" t="s">
        <v>39</v>
      </c>
      <c r="M432">
        <v>5</v>
      </c>
      <c r="N432" t="str">
        <f t="shared" si="20"/>
        <v>low</v>
      </c>
      <c r="O432">
        <v>2500</v>
      </c>
      <c r="P432" t="s">
        <v>99</v>
      </c>
      <c r="Q432" t="s">
        <v>100</v>
      </c>
    </row>
    <row r="433" spans="1:17" x14ac:dyDescent="0.35">
      <c r="A433">
        <v>432</v>
      </c>
      <c r="B433" t="s">
        <v>1160</v>
      </c>
      <c r="C433" t="s">
        <v>1161</v>
      </c>
      <c r="D433" t="s">
        <v>1316</v>
      </c>
      <c r="E433">
        <v>20</v>
      </c>
      <c r="F433" t="str">
        <f t="shared" si="18"/>
        <v>teen</v>
      </c>
      <c r="G433" t="s">
        <v>167</v>
      </c>
      <c r="H433" t="str">
        <f t="shared" si="19"/>
        <v>Feb</v>
      </c>
      <c r="I433" t="s">
        <v>17</v>
      </c>
      <c r="J433" t="s">
        <v>56</v>
      </c>
      <c r="K433" t="s">
        <v>49</v>
      </c>
      <c r="L433" t="s">
        <v>66</v>
      </c>
      <c r="M433">
        <v>2</v>
      </c>
      <c r="N433" t="str">
        <f t="shared" si="20"/>
        <v>low</v>
      </c>
      <c r="O433">
        <v>2132</v>
      </c>
      <c r="P433" t="s">
        <v>44</v>
      </c>
      <c r="Q433" t="s">
        <v>45</v>
      </c>
    </row>
    <row r="434" spans="1:17" x14ac:dyDescent="0.35">
      <c r="A434">
        <v>433</v>
      </c>
      <c r="B434" t="s">
        <v>1162</v>
      </c>
      <c r="C434" t="s">
        <v>1163</v>
      </c>
      <c r="D434" t="s">
        <v>1316</v>
      </c>
      <c r="E434">
        <v>39</v>
      </c>
      <c r="F434" t="str">
        <f t="shared" si="18"/>
        <v>adult</v>
      </c>
      <c r="G434" t="s">
        <v>1164</v>
      </c>
      <c r="H434" t="str">
        <f t="shared" si="19"/>
        <v>Sep</v>
      </c>
      <c r="I434" t="s">
        <v>31</v>
      </c>
      <c r="J434" t="s">
        <v>18</v>
      </c>
      <c r="K434" t="s">
        <v>49</v>
      </c>
      <c r="L434" t="s">
        <v>20</v>
      </c>
      <c r="M434">
        <v>5</v>
      </c>
      <c r="N434" t="str">
        <f t="shared" si="20"/>
        <v>high</v>
      </c>
      <c r="O434">
        <v>11340</v>
      </c>
      <c r="P434" t="s">
        <v>21</v>
      </c>
      <c r="Q434" t="s">
        <v>22</v>
      </c>
    </row>
    <row r="435" spans="1:17" x14ac:dyDescent="0.35">
      <c r="A435">
        <v>434</v>
      </c>
      <c r="B435" t="s">
        <v>1165</v>
      </c>
      <c r="C435" t="s">
        <v>1166</v>
      </c>
      <c r="D435" t="s">
        <v>1316</v>
      </c>
      <c r="E435">
        <v>42</v>
      </c>
      <c r="F435" t="str">
        <f t="shared" si="18"/>
        <v>adult</v>
      </c>
      <c r="G435" t="s">
        <v>173</v>
      </c>
      <c r="H435" t="str">
        <f t="shared" si="19"/>
        <v>Jul</v>
      </c>
      <c r="I435" t="s">
        <v>17</v>
      </c>
      <c r="J435" t="s">
        <v>18</v>
      </c>
      <c r="K435" t="s">
        <v>19</v>
      </c>
      <c r="L435" t="s">
        <v>32</v>
      </c>
      <c r="M435">
        <v>5</v>
      </c>
      <c r="N435" t="str">
        <f t="shared" si="20"/>
        <v>high</v>
      </c>
      <c r="O435">
        <v>12750</v>
      </c>
      <c r="P435" t="s">
        <v>21</v>
      </c>
      <c r="Q435" t="s">
        <v>22</v>
      </c>
    </row>
    <row r="436" spans="1:17" x14ac:dyDescent="0.35">
      <c r="A436">
        <v>435</v>
      </c>
      <c r="B436" t="s">
        <v>1167</v>
      </c>
      <c r="C436" t="s">
        <v>1168</v>
      </c>
      <c r="D436" t="s">
        <v>1316</v>
      </c>
      <c r="E436">
        <v>36</v>
      </c>
      <c r="F436" t="str">
        <f t="shared" si="18"/>
        <v>adult</v>
      </c>
      <c r="G436" t="s">
        <v>659</v>
      </c>
      <c r="H436" t="str">
        <f t="shared" si="19"/>
        <v>Nov</v>
      </c>
      <c r="I436" t="s">
        <v>31</v>
      </c>
      <c r="J436" t="s">
        <v>37</v>
      </c>
      <c r="K436" t="s">
        <v>49</v>
      </c>
      <c r="L436" t="s">
        <v>39</v>
      </c>
      <c r="M436">
        <v>1</v>
      </c>
      <c r="N436" t="str">
        <f t="shared" si="20"/>
        <v>low</v>
      </c>
      <c r="O436">
        <v>2011</v>
      </c>
      <c r="P436" t="s">
        <v>21</v>
      </c>
      <c r="Q436" t="s">
        <v>22</v>
      </c>
    </row>
    <row r="437" spans="1:17" x14ac:dyDescent="0.35">
      <c r="A437">
        <v>436</v>
      </c>
      <c r="B437" t="s">
        <v>1169</v>
      </c>
      <c r="C437" t="s">
        <v>1170</v>
      </c>
      <c r="D437" t="s">
        <v>1316</v>
      </c>
      <c r="E437">
        <v>21</v>
      </c>
      <c r="F437" t="str">
        <f t="shared" si="18"/>
        <v>teen</v>
      </c>
      <c r="G437" t="s">
        <v>1171</v>
      </c>
      <c r="H437" t="str">
        <f t="shared" si="19"/>
        <v>Dec</v>
      </c>
      <c r="I437" t="s">
        <v>26</v>
      </c>
      <c r="J437" t="s">
        <v>56</v>
      </c>
      <c r="K437" t="s">
        <v>38</v>
      </c>
      <c r="L437" t="s">
        <v>32</v>
      </c>
      <c r="M437">
        <v>2</v>
      </c>
      <c r="N437" t="str">
        <f t="shared" si="20"/>
        <v>high</v>
      </c>
      <c r="O437">
        <v>5482</v>
      </c>
      <c r="P437" t="s">
        <v>99</v>
      </c>
      <c r="Q437" t="s">
        <v>100</v>
      </c>
    </row>
    <row r="438" spans="1:17" x14ac:dyDescent="0.35">
      <c r="A438">
        <v>437</v>
      </c>
      <c r="B438" t="s">
        <v>1172</v>
      </c>
      <c r="C438" t="s">
        <v>1173</v>
      </c>
      <c r="D438" t="s">
        <v>1315</v>
      </c>
      <c r="E438">
        <v>57</v>
      </c>
      <c r="F438" t="str">
        <f t="shared" si="18"/>
        <v>senior</v>
      </c>
      <c r="G438" t="s">
        <v>1174</v>
      </c>
      <c r="H438" t="str">
        <f t="shared" si="19"/>
        <v>Nov</v>
      </c>
      <c r="I438" t="s">
        <v>17</v>
      </c>
      <c r="J438" t="s">
        <v>56</v>
      </c>
      <c r="K438" t="s">
        <v>38</v>
      </c>
      <c r="L438" t="s">
        <v>66</v>
      </c>
      <c r="M438">
        <v>4</v>
      </c>
      <c r="N438" t="str">
        <f t="shared" si="20"/>
        <v>high</v>
      </c>
      <c r="O438">
        <v>6944</v>
      </c>
      <c r="P438" t="s">
        <v>21</v>
      </c>
      <c r="Q438" t="s">
        <v>22</v>
      </c>
    </row>
    <row r="439" spans="1:17" x14ac:dyDescent="0.35">
      <c r="A439">
        <v>438</v>
      </c>
      <c r="B439" t="s">
        <v>1175</v>
      </c>
      <c r="C439" t="s">
        <v>1176</v>
      </c>
      <c r="D439" t="s">
        <v>1315</v>
      </c>
      <c r="E439">
        <v>24</v>
      </c>
      <c r="F439" t="str">
        <f t="shared" si="18"/>
        <v>teen</v>
      </c>
      <c r="G439" t="s">
        <v>298</v>
      </c>
      <c r="H439" t="str">
        <f t="shared" si="19"/>
        <v>May</v>
      </c>
      <c r="I439" t="s">
        <v>17</v>
      </c>
      <c r="J439" t="s">
        <v>37</v>
      </c>
      <c r="K439" t="s">
        <v>19</v>
      </c>
      <c r="L439" t="s">
        <v>66</v>
      </c>
      <c r="M439">
        <v>1</v>
      </c>
      <c r="N439" t="str">
        <f t="shared" si="20"/>
        <v>low</v>
      </c>
      <c r="O439">
        <v>1779</v>
      </c>
      <c r="P439" t="s">
        <v>79</v>
      </c>
      <c r="Q439" t="s">
        <v>80</v>
      </c>
    </row>
    <row r="440" spans="1:17" x14ac:dyDescent="0.35">
      <c r="A440">
        <v>439</v>
      </c>
      <c r="B440" t="s">
        <v>1177</v>
      </c>
      <c r="C440" t="s">
        <v>1178</v>
      </c>
      <c r="D440" t="s">
        <v>1316</v>
      </c>
      <c r="E440">
        <v>40</v>
      </c>
      <c r="F440" t="str">
        <f t="shared" si="18"/>
        <v>adult</v>
      </c>
      <c r="G440" t="s">
        <v>462</v>
      </c>
      <c r="H440" t="str">
        <f t="shared" si="19"/>
        <v>Oct</v>
      </c>
      <c r="I440" t="s">
        <v>31</v>
      </c>
      <c r="J440" t="s">
        <v>37</v>
      </c>
      <c r="K440" t="s">
        <v>19</v>
      </c>
      <c r="L440" t="s">
        <v>39</v>
      </c>
      <c r="M440">
        <v>5</v>
      </c>
      <c r="N440" t="str">
        <f t="shared" si="20"/>
        <v>high</v>
      </c>
      <c r="O440">
        <v>3970</v>
      </c>
      <c r="P440" t="s">
        <v>27</v>
      </c>
      <c r="Q440" t="s">
        <v>22</v>
      </c>
    </row>
    <row r="441" spans="1:17" x14ac:dyDescent="0.35">
      <c r="A441">
        <v>440</v>
      </c>
      <c r="B441" t="s">
        <v>1179</v>
      </c>
      <c r="C441" t="s">
        <v>1180</v>
      </c>
      <c r="D441" t="s">
        <v>1316</v>
      </c>
      <c r="E441">
        <v>39</v>
      </c>
      <c r="F441" t="str">
        <f t="shared" si="18"/>
        <v>adult</v>
      </c>
      <c r="G441" t="s">
        <v>501</v>
      </c>
      <c r="H441" t="str">
        <f t="shared" si="19"/>
        <v>Jan</v>
      </c>
      <c r="I441" t="s">
        <v>17</v>
      </c>
      <c r="J441" t="s">
        <v>56</v>
      </c>
      <c r="K441" t="s">
        <v>19</v>
      </c>
      <c r="L441" t="s">
        <v>20</v>
      </c>
      <c r="M441">
        <v>3</v>
      </c>
      <c r="N441" t="str">
        <f t="shared" si="20"/>
        <v>high</v>
      </c>
      <c r="O441">
        <v>7674</v>
      </c>
      <c r="P441" t="s">
        <v>33</v>
      </c>
      <c r="Q441" t="s">
        <v>33</v>
      </c>
    </row>
    <row r="442" spans="1:17" x14ac:dyDescent="0.35">
      <c r="A442">
        <v>441</v>
      </c>
      <c r="B442" t="s">
        <v>1181</v>
      </c>
      <c r="C442" t="s">
        <v>1182</v>
      </c>
      <c r="D442" t="s">
        <v>1316</v>
      </c>
      <c r="E442">
        <v>43</v>
      </c>
      <c r="F442" t="str">
        <f t="shared" si="18"/>
        <v>adult</v>
      </c>
      <c r="G442" t="s">
        <v>1183</v>
      </c>
      <c r="H442" t="str">
        <f t="shared" si="19"/>
        <v>Jun</v>
      </c>
      <c r="I442" t="s">
        <v>26</v>
      </c>
      <c r="J442" t="s">
        <v>56</v>
      </c>
      <c r="K442" t="s">
        <v>49</v>
      </c>
      <c r="L442" t="s">
        <v>66</v>
      </c>
      <c r="M442">
        <v>3</v>
      </c>
      <c r="N442" t="str">
        <f t="shared" si="20"/>
        <v>high</v>
      </c>
      <c r="O442">
        <v>4782</v>
      </c>
      <c r="P442" t="s">
        <v>27</v>
      </c>
      <c r="Q442" t="s">
        <v>22</v>
      </c>
    </row>
    <row r="443" spans="1:17" x14ac:dyDescent="0.35">
      <c r="A443">
        <v>442</v>
      </c>
      <c r="B443" t="s">
        <v>1184</v>
      </c>
      <c r="C443" t="s">
        <v>1185</v>
      </c>
      <c r="D443" t="s">
        <v>1316</v>
      </c>
      <c r="E443">
        <v>41</v>
      </c>
      <c r="F443" t="str">
        <f t="shared" si="18"/>
        <v>adult</v>
      </c>
      <c r="G443" t="s">
        <v>61</v>
      </c>
      <c r="H443" t="str">
        <f t="shared" si="19"/>
        <v>Feb</v>
      </c>
      <c r="I443" t="s">
        <v>17</v>
      </c>
      <c r="J443" t="s">
        <v>56</v>
      </c>
      <c r="K443" t="s">
        <v>38</v>
      </c>
      <c r="L443" t="s">
        <v>20</v>
      </c>
      <c r="M443">
        <v>5</v>
      </c>
      <c r="N443" t="str">
        <f t="shared" si="20"/>
        <v>high</v>
      </c>
      <c r="O443">
        <v>13960</v>
      </c>
      <c r="P443" t="s">
        <v>57</v>
      </c>
      <c r="Q443" t="s">
        <v>58</v>
      </c>
    </row>
    <row r="444" spans="1:17" x14ac:dyDescent="0.35">
      <c r="A444">
        <v>443</v>
      </c>
      <c r="B444" t="s">
        <v>1186</v>
      </c>
      <c r="C444" t="s">
        <v>1187</v>
      </c>
      <c r="D444" t="s">
        <v>1316</v>
      </c>
      <c r="E444">
        <v>42</v>
      </c>
      <c r="F444" t="str">
        <f t="shared" si="18"/>
        <v>adult</v>
      </c>
      <c r="G444" t="s">
        <v>1188</v>
      </c>
      <c r="H444" t="str">
        <f t="shared" si="19"/>
        <v>Dec</v>
      </c>
      <c r="I444" t="s">
        <v>26</v>
      </c>
      <c r="J444" t="s">
        <v>18</v>
      </c>
      <c r="K444" t="s">
        <v>49</v>
      </c>
      <c r="L444" t="s">
        <v>20</v>
      </c>
      <c r="M444">
        <v>1</v>
      </c>
      <c r="N444" t="str">
        <f t="shared" si="20"/>
        <v>low</v>
      </c>
      <c r="O444">
        <v>755</v>
      </c>
      <c r="P444" t="s">
        <v>21</v>
      </c>
      <c r="Q444" t="s">
        <v>22</v>
      </c>
    </row>
    <row r="445" spans="1:17" x14ac:dyDescent="0.35">
      <c r="A445">
        <v>444</v>
      </c>
      <c r="B445" t="s">
        <v>1189</v>
      </c>
      <c r="C445" t="s">
        <v>1190</v>
      </c>
      <c r="D445" t="s">
        <v>1315</v>
      </c>
      <c r="E445">
        <v>59</v>
      </c>
      <c r="F445" t="str">
        <f t="shared" si="18"/>
        <v>senior</v>
      </c>
      <c r="G445" t="s">
        <v>388</v>
      </c>
      <c r="H445" t="str">
        <f t="shared" si="19"/>
        <v>Jun</v>
      </c>
      <c r="I445" t="s">
        <v>31</v>
      </c>
      <c r="J445" t="s">
        <v>18</v>
      </c>
      <c r="K445" t="s">
        <v>62</v>
      </c>
      <c r="L445" t="s">
        <v>66</v>
      </c>
      <c r="M445">
        <v>5</v>
      </c>
      <c r="N445" t="str">
        <f t="shared" si="20"/>
        <v>high</v>
      </c>
      <c r="O445">
        <v>5320</v>
      </c>
      <c r="P445" t="s">
        <v>44</v>
      </c>
      <c r="Q445" t="s">
        <v>45</v>
      </c>
    </row>
    <row r="446" spans="1:17" x14ac:dyDescent="0.35">
      <c r="A446">
        <v>445</v>
      </c>
      <c r="B446" t="s">
        <v>1191</v>
      </c>
      <c r="C446" t="s">
        <v>1192</v>
      </c>
      <c r="D446" t="s">
        <v>1316</v>
      </c>
      <c r="E446">
        <v>51</v>
      </c>
      <c r="F446" t="str">
        <f t="shared" si="18"/>
        <v>senior</v>
      </c>
      <c r="G446" t="s">
        <v>781</v>
      </c>
      <c r="H446" t="str">
        <f t="shared" si="19"/>
        <v>Nov</v>
      </c>
      <c r="I446" t="s">
        <v>17</v>
      </c>
      <c r="J446" t="s">
        <v>18</v>
      </c>
      <c r="K446" t="s">
        <v>38</v>
      </c>
      <c r="L446" t="s">
        <v>32</v>
      </c>
      <c r="M446">
        <v>5</v>
      </c>
      <c r="N446" t="str">
        <f t="shared" si="20"/>
        <v>high</v>
      </c>
      <c r="O446">
        <v>14085</v>
      </c>
      <c r="P446" t="s">
        <v>33</v>
      </c>
      <c r="Q446" t="s">
        <v>33</v>
      </c>
    </row>
    <row r="447" spans="1:17" x14ac:dyDescent="0.35">
      <c r="A447">
        <v>446</v>
      </c>
      <c r="B447" t="s">
        <v>1193</v>
      </c>
      <c r="C447" t="s">
        <v>1194</v>
      </c>
      <c r="D447" t="s">
        <v>1315</v>
      </c>
      <c r="E447">
        <v>26</v>
      </c>
      <c r="F447" t="str">
        <f t="shared" si="18"/>
        <v>adult</v>
      </c>
      <c r="G447" t="s">
        <v>806</v>
      </c>
      <c r="H447" t="str">
        <f t="shared" si="19"/>
        <v>Dec</v>
      </c>
      <c r="I447" t="s">
        <v>17</v>
      </c>
      <c r="J447" t="s">
        <v>56</v>
      </c>
      <c r="K447" t="s">
        <v>38</v>
      </c>
      <c r="L447" t="s">
        <v>39</v>
      </c>
      <c r="M447">
        <v>5</v>
      </c>
      <c r="N447" t="str">
        <f t="shared" si="20"/>
        <v>high</v>
      </c>
      <c r="O447">
        <v>8635</v>
      </c>
      <c r="P447" t="s">
        <v>44</v>
      </c>
      <c r="Q447" t="s">
        <v>45</v>
      </c>
    </row>
    <row r="448" spans="1:17" x14ac:dyDescent="0.35">
      <c r="A448">
        <v>447</v>
      </c>
      <c r="B448" t="s">
        <v>1195</v>
      </c>
      <c r="C448" t="s">
        <v>1196</v>
      </c>
      <c r="D448" t="s">
        <v>1315</v>
      </c>
      <c r="E448">
        <v>34</v>
      </c>
      <c r="F448" t="str">
        <f t="shared" si="18"/>
        <v>adult</v>
      </c>
      <c r="G448" t="s">
        <v>228</v>
      </c>
      <c r="H448" t="str">
        <f t="shared" si="19"/>
        <v>Dec</v>
      </c>
      <c r="I448" t="s">
        <v>31</v>
      </c>
      <c r="J448" t="s">
        <v>18</v>
      </c>
      <c r="K448" t="s">
        <v>49</v>
      </c>
      <c r="L448" t="s">
        <v>32</v>
      </c>
      <c r="M448">
        <v>3</v>
      </c>
      <c r="N448" t="str">
        <f t="shared" si="20"/>
        <v>high</v>
      </c>
      <c r="O448">
        <v>4704</v>
      </c>
      <c r="P448" t="s">
        <v>44</v>
      </c>
      <c r="Q448" t="s">
        <v>45</v>
      </c>
    </row>
    <row r="449" spans="1:17" x14ac:dyDescent="0.35">
      <c r="A449">
        <v>448</v>
      </c>
      <c r="B449" t="s">
        <v>1197</v>
      </c>
      <c r="C449" t="s">
        <v>1198</v>
      </c>
      <c r="D449" t="s">
        <v>1316</v>
      </c>
      <c r="E449">
        <v>38</v>
      </c>
      <c r="F449" t="str">
        <f t="shared" si="18"/>
        <v>adult</v>
      </c>
      <c r="G449" t="s">
        <v>855</v>
      </c>
      <c r="H449" t="str">
        <f t="shared" si="19"/>
        <v>Oct</v>
      </c>
      <c r="I449" t="s">
        <v>26</v>
      </c>
      <c r="J449" t="s">
        <v>37</v>
      </c>
      <c r="K449" t="s">
        <v>38</v>
      </c>
      <c r="L449" t="s">
        <v>32</v>
      </c>
      <c r="M449">
        <v>4</v>
      </c>
      <c r="N449" t="str">
        <f t="shared" si="20"/>
        <v>high</v>
      </c>
      <c r="O449">
        <v>6792</v>
      </c>
      <c r="P449" t="s">
        <v>57</v>
      </c>
      <c r="Q449" t="s">
        <v>58</v>
      </c>
    </row>
    <row r="450" spans="1:17" x14ac:dyDescent="0.35">
      <c r="A450">
        <v>449</v>
      </c>
      <c r="B450" t="s">
        <v>1199</v>
      </c>
      <c r="C450" t="s">
        <v>1200</v>
      </c>
      <c r="D450" t="s">
        <v>1315</v>
      </c>
      <c r="E450">
        <v>47</v>
      </c>
      <c r="F450" t="str">
        <f t="shared" si="18"/>
        <v>senior</v>
      </c>
      <c r="G450" t="s">
        <v>447</v>
      </c>
      <c r="H450" t="str">
        <f t="shared" si="19"/>
        <v>Apr</v>
      </c>
      <c r="I450" t="s">
        <v>31</v>
      </c>
      <c r="J450" t="s">
        <v>37</v>
      </c>
      <c r="K450" t="s">
        <v>62</v>
      </c>
      <c r="L450" t="s">
        <v>20</v>
      </c>
      <c r="M450">
        <v>4</v>
      </c>
      <c r="N450" t="str">
        <f t="shared" si="20"/>
        <v>high</v>
      </c>
      <c r="O450">
        <v>6308</v>
      </c>
      <c r="P450" t="s">
        <v>44</v>
      </c>
      <c r="Q450" t="s">
        <v>45</v>
      </c>
    </row>
    <row r="451" spans="1:17" x14ac:dyDescent="0.35">
      <c r="A451">
        <v>450</v>
      </c>
      <c r="B451" t="s">
        <v>1201</v>
      </c>
      <c r="C451" t="s">
        <v>1202</v>
      </c>
      <c r="D451" t="s">
        <v>1315</v>
      </c>
      <c r="E451">
        <v>56</v>
      </c>
      <c r="F451" t="str">
        <f t="shared" ref="F451:F501" si="21">IF(E451&gt;45,"senior",IF(E451&gt;=25,"adult","teen"))</f>
        <v>senior</v>
      </c>
      <c r="G451" t="s">
        <v>735</v>
      </c>
      <c r="H451" t="str">
        <f t="shared" ref="H451:H501" si="22">TEXT(G451,"mmm")</f>
        <v>Dec</v>
      </c>
      <c r="I451" t="s">
        <v>17</v>
      </c>
      <c r="J451" t="s">
        <v>56</v>
      </c>
      <c r="K451" t="s">
        <v>19</v>
      </c>
      <c r="L451" t="s">
        <v>66</v>
      </c>
      <c r="M451">
        <v>3</v>
      </c>
      <c r="N451" t="str">
        <f t="shared" ref="N451:N501" si="23">IF(O451&gt;=3000,"high",IF(O451&gt;=500,"low","medium"))</f>
        <v>high</v>
      </c>
      <c r="O451">
        <v>5352</v>
      </c>
      <c r="P451" t="s">
        <v>40</v>
      </c>
      <c r="Q451" t="s">
        <v>22</v>
      </c>
    </row>
    <row r="452" spans="1:17" x14ac:dyDescent="0.35">
      <c r="A452">
        <v>451</v>
      </c>
      <c r="B452" t="s">
        <v>1203</v>
      </c>
      <c r="C452" t="s">
        <v>1204</v>
      </c>
      <c r="D452" t="s">
        <v>1315</v>
      </c>
      <c r="E452">
        <v>56</v>
      </c>
      <c r="F452" t="str">
        <f t="shared" si="21"/>
        <v>senior</v>
      </c>
      <c r="G452" t="s">
        <v>470</v>
      </c>
      <c r="H452" t="str">
        <f t="shared" si="22"/>
        <v>Aug</v>
      </c>
      <c r="I452" t="s">
        <v>31</v>
      </c>
      <c r="J452" t="s">
        <v>37</v>
      </c>
      <c r="K452" t="s">
        <v>19</v>
      </c>
      <c r="L452" t="s">
        <v>20</v>
      </c>
      <c r="M452">
        <v>2</v>
      </c>
      <c r="N452" t="str">
        <f t="shared" si="23"/>
        <v>high</v>
      </c>
      <c r="O452">
        <v>3486</v>
      </c>
      <c r="P452" t="s">
        <v>44</v>
      </c>
      <c r="Q452" t="s">
        <v>45</v>
      </c>
    </row>
    <row r="453" spans="1:17" x14ac:dyDescent="0.35">
      <c r="A453">
        <v>452</v>
      </c>
      <c r="B453" t="s">
        <v>1205</v>
      </c>
      <c r="C453" t="s">
        <v>1206</v>
      </c>
      <c r="D453" t="s">
        <v>1316</v>
      </c>
      <c r="E453">
        <v>51</v>
      </c>
      <c r="F453" t="str">
        <f t="shared" si="21"/>
        <v>senior</v>
      </c>
      <c r="G453" t="s">
        <v>932</v>
      </c>
      <c r="H453" t="str">
        <f t="shared" si="22"/>
        <v>Aug</v>
      </c>
      <c r="I453" t="s">
        <v>26</v>
      </c>
      <c r="J453" t="s">
        <v>18</v>
      </c>
      <c r="K453" t="s">
        <v>38</v>
      </c>
      <c r="L453" t="s">
        <v>39</v>
      </c>
      <c r="M453">
        <v>2</v>
      </c>
      <c r="N453" t="str">
        <f t="shared" si="23"/>
        <v>high</v>
      </c>
      <c r="O453">
        <v>3754</v>
      </c>
      <c r="P453" t="s">
        <v>27</v>
      </c>
      <c r="Q453" t="s">
        <v>22</v>
      </c>
    </row>
    <row r="454" spans="1:17" x14ac:dyDescent="0.35">
      <c r="A454">
        <v>453</v>
      </c>
      <c r="B454" t="s">
        <v>1207</v>
      </c>
      <c r="C454" t="s">
        <v>1208</v>
      </c>
      <c r="D454" t="s">
        <v>1316</v>
      </c>
      <c r="E454">
        <v>22</v>
      </c>
      <c r="F454" t="str">
        <f t="shared" si="21"/>
        <v>teen</v>
      </c>
      <c r="G454" t="s">
        <v>1131</v>
      </c>
      <c r="H454" t="str">
        <f t="shared" si="22"/>
        <v>Dec</v>
      </c>
      <c r="I454" t="s">
        <v>31</v>
      </c>
      <c r="J454" t="s">
        <v>56</v>
      </c>
      <c r="K454" t="s">
        <v>62</v>
      </c>
      <c r="L454" t="s">
        <v>66</v>
      </c>
      <c r="M454">
        <v>2</v>
      </c>
      <c r="N454" t="str">
        <f t="shared" si="23"/>
        <v>high</v>
      </c>
      <c r="O454">
        <v>5944</v>
      </c>
      <c r="P454" t="s">
        <v>44</v>
      </c>
      <c r="Q454" t="s">
        <v>45</v>
      </c>
    </row>
    <row r="455" spans="1:17" x14ac:dyDescent="0.35">
      <c r="A455">
        <v>454</v>
      </c>
      <c r="B455" t="s">
        <v>1209</v>
      </c>
      <c r="C455" t="s">
        <v>1210</v>
      </c>
      <c r="D455" t="s">
        <v>1316</v>
      </c>
      <c r="E455">
        <v>48</v>
      </c>
      <c r="F455" t="str">
        <f t="shared" si="21"/>
        <v>senior</v>
      </c>
      <c r="G455" t="s">
        <v>1211</v>
      </c>
      <c r="H455" t="str">
        <f t="shared" si="22"/>
        <v>Jan</v>
      </c>
      <c r="I455" t="s">
        <v>17</v>
      </c>
      <c r="J455" t="s">
        <v>56</v>
      </c>
      <c r="K455" t="s">
        <v>19</v>
      </c>
      <c r="L455" t="s">
        <v>66</v>
      </c>
      <c r="M455">
        <v>3</v>
      </c>
      <c r="N455" t="str">
        <f t="shared" si="23"/>
        <v>high</v>
      </c>
      <c r="O455">
        <v>5196</v>
      </c>
      <c r="P455" t="s">
        <v>33</v>
      </c>
      <c r="Q455" t="s">
        <v>33</v>
      </c>
    </row>
    <row r="456" spans="1:17" x14ac:dyDescent="0.35">
      <c r="A456">
        <v>455</v>
      </c>
      <c r="B456" t="s">
        <v>1212</v>
      </c>
      <c r="C456" t="s">
        <v>1213</v>
      </c>
      <c r="D456" t="s">
        <v>1316</v>
      </c>
      <c r="E456">
        <v>23</v>
      </c>
      <c r="F456" t="str">
        <f t="shared" si="21"/>
        <v>teen</v>
      </c>
      <c r="G456" t="s">
        <v>1214</v>
      </c>
      <c r="H456" t="str">
        <f t="shared" si="22"/>
        <v>Feb</v>
      </c>
      <c r="I456" t="s">
        <v>31</v>
      </c>
      <c r="J456" t="s">
        <v>37</v>
      </c>
      <c r="K456" t="s">
        <v>49</v>
      </c>
      <c r="L456" t="s">
        <v>66</v>
      </c>
      <c r="M456">
        <v>4</v>
      </c>
      <c r="N456" t="str">
        <f t="shared" si="23"/>
        <v>high</v>
      </c>
      <c r="O456">
        <v>11988</v>
      </c>
      <c r="P456" t="s">
        <v>27</v>
      </c>
      <c r="Q456" t="s">
        <v>22</v>
      </c>
    </row>
    <row r="457" spans="1:17" x14ac:dyDescent="0.35">
      <c r="A457">
        <v>456</v>
      </c>
      <c r="B457" t="s">
        <v>1215</v>
      </c>
      <c r="C457" t="s">
        <v>1216</v>
      </c>
      <c r="D457" t="s">
        <v>1315</v>
      </c>
      <c r="E457">
        <v>60</v>
      </c>
      <c r="F457" t="str">
        <f t="shared" si="21"/>
        <v>senior</v>
      </c>
      <c r="G457" t="s">
        <v>1070</v>
      </c>
      <c r="H457" t="str">
        <f t="shared" si="22"/>
        <v>Jun</v>
      </c>
      <c r="I457" t="s">
        <v>31</v>
      </c>
      <c r="J457" t="s">
        <v>56</v>
      </c>
      <c r="K457" t="s">
        <v>38</v>
      </c>
      <c r="L457" t="s">
        <v>66</v>
      </c>
      <c r="M457">
        <v>4</v>
      </c>
      <c r="N457" t="str">
        <f t="shared" si="23"/>
        <v>low</v>
      </c>
      <c r="O457">
        <v>2084</v>
      </c>
      <c r="P457" t="s">
        <v>44</v>
      </c>
      <c r="Q457" t="s">
        <v>45</v>
      </c>
    </row>
    <row r="458" spans="1:17" x14ac:dyDescent="0.35">
      <c r="A458">
        <v>457</v>
      </c>
      <c r="B458" t="s">
        <v>1217</v>
      </c>
      <c r="C458" t="s">
        <v>1218</v>
      </c>
      <c r="D458" t="s">
        <v>1315</v>
      </c>
      <c r="E458">
        <v>27</v>
      </c>
      <c r="F458" t="str">
        <f t="shared" si="21"/>
        <v>adult</v>
      </c>
      <c r="G458" t="s">
        <v>89</v>
      </c>
      <c r="H458" t="str">
        <f t="shared" si="22"/>
        <v>Nov</v>
      </c>
      <c r="I458" t="s">
        <v>17</v>
      </c>
      <c r="J458" t="s">
        <v>18</v>
      </c>
      <c r="K458" t="s">
        <v>38</v>
      </c>
      <c r="L458" t="s">
        <v>39</v>
      </c>
      <c r="M458">
        <v>4</v>
      </c>
      <c r="N458" t="str">
        <f t="shared" si="23"/>
        <v>high</v>
      </c>
      <c r="O458">
        <v>9320</v>
      </c>
      <c r="P458" t="s">
        <v>79</v>
      </c>
      <c r="Q458" t="s">
        <v>80</v>
      </c>
    </row>
    <row r="459" spans="1:17" x14ac:dyDescent="0.35">
      <c r="A459">
        <v>458</v>
      </c>
      <c r="B459" t="s">
        <v>1219</v>
      </c>
      <c r="C459" t="s">
        <v>1220</v>
      </c>
      <c r="D459" t="s">
        <v>1316</v>
      </c>
      <c r="E459">
        <v>26</v>
      </c>
      <c r="F459" t="str">
        <f t="shared" si="21"/>
        <v>adult</v>
      </c>
      <c r="G459" t="s">
        <v>1138</v>
      </c>
      <c r="H459" t="str">
        <f t="shared" si="22"/>
        <v>Sep</v>
      </c>
      <c r="I459" t="s">
        <v>31</v>
      </c>
      <c r="J459" t="s">
        <v>56</v>
      </c>
      <c r="K459" t="s">
        <v>19</v>
      </c>
      <c r="L459" t="s">
        <v>20</v>
      </c>
      <c r="M459">
        <v>4</v>
      </c>
      <c r="N459" t="str">
        <f t="shared" si="23"/>
        <v>high</v>
      </c>
      <c r="O459">
        <v>7532</v>
      </c>
      <c r="P459" t="s">
        <v>44</v>
      </c>
      <c r="Q459" t="s">
        <v>45</v>
      </c>
    </row>
    <row r="460" spans="1:17" x14ac:dyDescent="0.35">
      <c r="A460">
        <v>459</v>
      </c>
      <c r="B460" t="s">
        <v>1221</v>
      </c>
      <c r="C460" t="s">
        <v>1222</v>
      </c>
      <c r="D460" t="s">
        <v>1316</v>
      </c>
      <c r="E460">
        <v>21</v>
      </c>
      <c r="F460" t="str">
        <f t="shared" si="21"/>
        <v>teen</v>
      </c>
      <c r="G460" t="s">
        <v>72</v>
      </c>
      <c r="H460" t="str">
        <f t="shared" si="22"/>
        <v>Aug</v>
      </c>
      <c r="I460" t="s">
        <v>26</v>
      </c>
      <c r="J460" t="s">
        <v>37</v>
      </c>
      <c r="K460" t="s">
        <v>62</v>
      </c>
      <c r="L460" t="s">
        <v>66</v>
      </c>
      <c r="M460">
        <v>5</v>
      </c>
      <c r="N460" t="str">
        <f t="shared" si="23"/>
        <v>high</v>
      </c>
      <c r="O460">
        <v>6215</v>
      </c>
      <c r="P460" t="s">
        <v>27</v>
      </c>
      <c r="Q460" t="s">
        <v>22</v>
      </c>
    </row>
    <row r="461" spans="1:17" x14ac:dyDescent="0.35">
      <c r="A461">
        <v>460</v>
      </c>
      <c r="B461" t="s">
        <v>1223</v>
      </c>
      <c r="C461" t="s">
        <v>1224</v>
      </c>
      <c r="D461" t="s">
        <v>1316</v>
      </c>
      <c r="E461">
        <v>48</v>
      </c>
      <c r="F461" t="str">
        <f t="shared" si="21"/>
        <v>senior</v>
      </c>
      <c r="G461" t="s">
        <v>1225</v>
      </c>
      <c r="H461" t="str">
        <f t="shared" si="22"/>
        <v>Sep</v>
      </c>
      <c r="I461" t="s">
        <v>26</v>
      </c>
      <c r="J461" t="s">
        <v>18</v>
      </c>
      <c r="K461" t="s">
        <v>38</v>
      </c>
      <c r="L461" t="s">
        <v>32</v>
      </c>
      <c r="M461">
        <v>2</v>
      </c>
      <c r="N461" t="str">
        <f t="shared" si="23"/>
        <v>high</v>
      </c>
      <c r="O461">
        <v>5162</v>
      </c>
      <c r="P461" t="s">
        <v>57</v>
      </c>
      <c r="Q461" t="s">
        <v>58</v>
      </c>
    </row>
    <row r="462" spans="1:17" x14ac:dyDescent="0.35">
      <c r="A462">
        <v>461</v>
      </c>
      <c r="B462" t="s">
        <v>1226</v>
      </c>
      <c r="C462" t="s">
        <v>1227</v>
      </c>
      <c r="D462" t="s">
        <v>1316</v>
      </c>
      <c r="E462">
        <v>30</v>
      </c>
      <c r="F462" t="str">
        <f t="shared" si="21"/>
        <v>adult</v>
      </c>
      <c r="G462" t="s">
        <v>283</v>
      </c>
      <c r="H462" t="str">
        <f t="shared" si="22"/>
        <v>Mar</v>
      </c>
      <c r="I462" t="s">
        <v>17</v>
      </c>
      <c r="J462" t="s">
        <v>37</v>
      </c>
      <c r="K462" t="s">
        <v>62</v>
      </c>
      <c r="L462" t="s">
        <v>66</v>
      </c>
      <c r="M462">
        <v>3</v>
      </c>
      <c r="N462" t="str">
        <f t="shared" si="23"/>
        <v>high</v>
      </c>
      <c r="O462">
        <v>7524</v>
      </c>
      <c r="P462" t="s">
        <v>57</v>
      </c>
      <c r="Q462" t="s">
        <v>58</v>
      </c>
    </row>
    <row r="463" spans="1:17" x14ac:dyDescent="0.35">
      <c r="A463">
        <v>462</v>
      </c>
      <c r="B463" t="s">
        <v>1228</v>
      </c>
      <c r="C463" t="s">
        <v>1229</v>
      </c>
      <c r="D463" t="s">
        <v>1316</v>
      </c>
      <c r="E463">
        <v>42</v>
      </c>
      <c r="F463" t="str">
        <f t="shared" si="21"/>
        <v>adult</v>
      </c>
      <c r="G463" t="s">
        <v>1230</v>
      </c>
      <c r="H463" t="str">
        <f t="shared" si="22"/>
        <v>Nov</v>
      </c>
      <c r="I463" t="s">
        <v>26</v>
      </c>
      <c r="J463" t="s">
        <v>56</v>
      </c>
      <c r="K463" t="s">
        <v>19</v>
      </c>
      <c r="L463" t="s">
        <v>32</v>
      </c>
      <c r="M463">
        <v>4</v>
      </c>
      <c r="N463" t="str">
        <f t="shared" si="23"/>
        <v>low</v>
      </c>
      <c r="O463">
        <v>2288</v>
      </c>
      <c r="P463" t="s">
        <v>40</v>
      </c>
      <c r="Q463" t="s">
        <v>22</v>
      </c>
    </row>
    <row r="464" spans="1:17" x14ac:dyDescent="0.35">
      <c r="A464">
        <v>463</v>
      </c>
      <c r="B464" t="s">
        <v>1231</v>
      </c>
      <c r="C464" t="s">
        <v>1232</v>
      </c>
      <c r="D464" t="s">
        <v>1316</v>
      </c>
      <c r="E464">
        <v>45</v>
      </c>
      <c r="F464" t="str">
        <f t="shared" si="21"/>
        <v>adult</v>
      </c>
      <c r="G464" t="s">
        <v>691</v>
      </c>
      <c r="H464" t="str">
        <f t="shared" si="22"/>
        <v>Aug</v>
      </c>
      <c r="I464" t="s">
        <v>17</v>
      </c>
      <c r="J464" t="s">
        <v>56</v>
      </c>
      <c r="K464" t="s">
        <v>19</v>
      </c>
      <c r="L464" t="s">
        <v>32</v>
      </c>
      <c r="M464">
        <v>1</v>
      </c>
      <c r="N464" t="str">
        <f t="shared" si="23"/>
        <v>low</v>
      </c>
      <c r="O464">
        <v>1822</v>
      </c>
      <c r="P464" t="s">
        <v>57</v>
      </c>
      <c r="Q464" t="s">
        <v>58</v>
      </c>
    </row>
    <row r="465" spans="1:17" x14ac:dyDescent="0.35">
      <c r="A465">
        <v>464</v>
      </c>
      <c r="B465" t="s">
        <v>1233</v>
      </c>
      <c r="C465" t="s">
        <v>1234</v>
      </c>
      <c r="D465" t="s">
        <v>1316</v>
      </c>
      <c r="E465">
        <v>60</v>
      </c>
      <c r="F465" t="str">
        <f t="shared" si="21"/>
        <v>senior</v>
      </c>
      <c r="G465" t="s">
        <v>185</v>
      </c>
      <c r="H465" t="str">
        <f t="shared" si="22"/>
        <v>Oct</v>
      </c>
      <c r="I465" t="s">
        <v>26</v>
      </c>
      <c r="J465" t="s">
        <v>56</v>
      </c>
      <c r="K465" t="s">
        <v>49</v>
      </c>
      <c r="L465" t="s">
        <v>20</v>
      </c>
      <c r="M465">
        <v>4</v>
      </c>
      <c r="N465" t="str">
        <f t="shared" si="23"/>
        <v>high</v>
      </c>
      <c r="O465">
        <v>6328</v>
      </c>
      <c r="P465" t="s">
        <v>79</v>
      </c>
      <c r="Q465" t="s">
        <v>80</v>
      </c>
    </row>
    <row r="466" spans="1:17" x14ac:dyDescent="0.35">
      <c r="A466">
        <v>465</v>
      </c>
      <c r="B466" t="s">
        <v>1235</v>
      </c>
      <c r="C466" t="s">
        <v>1236</v>
      </c>
      <c r="D466" t="s">
        <v>1315</v>
      </c>
      <c r="E466">
        <v>40</v>
      </c>
      <c r="F466" t="str">
        <f t="shared" si="21"/>
        <v>adult</v>
      </c>
      <c r="G466" t="s">
        <v>470</v>
      </c>
      <c r="H466" t="str">
        <f t="shared" si="22"/>
        <v>Aug</v>
      </c>
      <c r="I466" t="s">
        <v>31</v>
      </c>
      <c r="J466" t="s">
        <v>56</v>
      </c>
      <c r="K466" t="s">
        <v>62</v>
      </c>
      <c r="L466" t="s">
        <v>20</v>
      </c>
      <c r="M466">
        <v>4</v>
      </c>
      <c r="N466" t="str">
        <f t="shared" si="23"/>
        <v>high</v>
      </c>
      <c r="O466">
        <v>10764</v>
      </c>
      <c r="P466" t="s">
        <v>79</v>
      </c>
      <c r="Q466" t="s">
        <v>80</v>
      </c>
    </row>
    <row r="467" spans="1:17" x14ac:dyDescent="0.35">
      <c r="A467">
        <v>466</v>
      </c>
      <c r="B467" t="s">
        <v>1237</v>
      </c>
      <c r="C467" t="s">
        <v>1238</v>
      </c>
      <c r="D467" t="s">
        <v>1315</v>
      </c>
      <c r="E467">
        <v>23</v>
      </c>
      <c r="F467" t="str">
        <f t="shared" si="21"/>
        <v>teen</v>
      </c>
      <c r="G467" t="s">
        <v>1239</v>
      </c>
      <c r="H467" t="str">
        <f t="shared" si="22"/>
        <v>May</v>
      </c>
      <c r="I467" t="s">
        <v>31</v>
      </c>
      <c r="J467" t="s">
        <v>37</v>
      </c>
      <c r="K467" t="s">
        <v>19</v>
      </c>
      <c r="L467" t="s">
        <v>32</v>
      </c>
      <c r="M467">
        <v>1</v>
      </c>
      <c r="N467" t="str">
        <f t="shared" si="23"/>
        <v>low</v>
      </c>
      <c r="O467">
        <v>2220</v>
      </c>
      <c r="P467" t="s">
        <v>79</v>
      </c>
      <c r="Q467" t="s">
        <v>80</v>
      </c>
    </row>
    <row r="468" spans="1:17" x14ac:dyDescent="0.35">
      <c r="A468">
        <v>467</v>
      </c>
      <c r="B468" t="s">
        <v>1240</v>
      </c>
      <c r="C468" t="s">
        <v>1241</v>
      </c>
      <c r="D468" t="s">
        <v>1315</v>
      </c>
      <c r="E468">
        <v>22</v>
      </c>
      <c r="F468" t="str">
        <f t="shared" si="21"/>
        <v>teen</v>
      </c>
      <c r="G468" t="s">
        <v>625</v>
      </c>
      <c r="H468" t="str">
        <f t="shared" si="22"/>
        <v>Aug</v>
      </c>
      <c r="I468" t="s">
        <v>31</v>
      </c>
      <c r="J468" t="s">
        <v>37</v>
      </c>
      <c r="K468" t="s">
        <v>19</v>
      </c>
      <c r="L468" t="s">
        <v>39</v>
      </c>
      <c r="M468">
        <v>1</v>
      </c>
      <c r="N468" t="str">
        <f t="shared" si="23"/>
        <v>low</v>
      </c>
      <c r="O468">
        <v>634</v>
      </c>
      <c r="P468" t="s">
        <v>57</v>
      </c>
      <c r="Q468" t="s">
        <v>58</v>
      </c>
    </row>
    <row r="469" spans="1:17" x14ac:dyDescent="0.35">
      <c r="A469">
        <v>468</v>
      </c>
      <c r="B469" t="s">
        <v>1242</v>
      </c>
      <c r="C469" t="s">
        <v>1243</v>
      </c>
      <c r="D469" t="s">
        <v>1315</v>
      </c>
      <c r="E469">
        <v>23</v>
      </c>
      <c r="F469" t="str">
        <f t="shared" si="21"/>
        <v>teen</v>
      </c>
      <c r="G469" t="s">
        <v>263</v>
      </c>
      <c r="H469" t="str">
        <f t="shared" si="22"/>
        <v>Feb</v>
      </c>
      <c r="I469" t="s">
        <v>31</v>
      </c>
      <c r="J469" t="s">
        <v>37</v>
      </c>
      <c r="K469" t="s">
        <v>49</v>
      </c>
      <c r="L469" t="s">
        <v>32</v>
      </c>
      <c r="M469">
        <v>2</v>
      </c>
      <c r="N469" t="str">
        <f t="shared" si="23"/>
        <v>high</v>
      </c>
      <c r="O469">
        <v>4462</v>
      </c>
      <c r="P469" t="s">
        <v>99</v>
      </c>
      <c r="Q469" t="s">
        <v>100</v>
      </c>
    </row>
    <row r="470" spans="1:17" x14ac:dyDescent="0.35">
      <c r="A470">
        <v>469</v>
      </c>
      <c r="B470" t="s">
        <v>1244</v>
      </c>
      <c r="C470" t="s">
        <v>1245</v>
      </c>
      <c r="D470" t="s">
        <v>1315</v>
      </c>
      <c r="E470">
        <v>24</v>
      </c>
      <c r="F470" t="str">
        <f t="shared" si="21"/>
        <v>teen</v>
      </c>
      <c r="G470" t="s">
        <v>706</v>
      </c>
      <c r="H470" t="str">
        <f t="shared" si="22"/>
        <v>Aug</v>
      </c>
      <c r="I470" t="s">
        <v>17</v>
      </c>
      <c r="J470" t="s">
        <v>37</v>
      </c>
      <c r="K470" t="s">
        <v>38</v>
      </c>
      <c r="L470" t="s">
        <v>32</v>
      </c>
      <c r="M470">
        <v>1</v>
      </c>
      <c r="N470" t="str">
        <f t="shared" si="23"/>
        <v>low</v>
      </c>
      <c r="O470">
        <v>2124</v>
      </c>
      <c r="P470" t="s">
        <v>44</v>
      </c>
      <c r="Q470" t="s">
        <v>45</v>
      </c>
    </row>
    <row r="471" spans="1:17" x14ac:dyDescent="0.35">
      <c r="A471">
        <v>470</v>
      </c>
      <c r="B471" t="s">
        <v>1246</v>
      </c>
      <c r="C471" t="s">
        <v>1247</v>
      </c>
      <c r="D471" t="s">
        <v>1316</v>
      </c>
      <c r="E471">
        <v>50</v>
      </c>
      <c r="F471" t="str">
        <f t="shared" si="21"/>
        <v>senior</v>
      </c>
      <c r="G471" t="s">
        <v>225</v>
      </c>
      <c r="H471" t="str">
        <f t="shared" si="22"/>
        <v>Apr</v>
      </c>
      <c r="I471" t="s">
        <v>17</v>
      </c>
      <c r="J471" t="s">
        <v>18</v>
      </c>
      <c r="K471" t="s">
        <v>49</v>
      </c>
      <c r="L471" t="s">
        <v>20</v>
      </c>
      <c r="M471">
        <v>4</v>
      </c>
      <c r="N471" t="str">
        <f t="shared" si="23"/>
        <v>high</v>
      </c>
      <c r="O471">
        <v>9308</v>
      </c>
      <c r="P471" t="s">
        <v>79</v>
      </c>
      <c r="Q471" t="s">
        <v>80</v>
      </c>
    </row>
    <row r="472" spans="1:17" x14ac:dyDescent="0.35">
      <c r="A472">
        <v>471</v>
      </c>
      <c r="B472" t="s">
        <v>1248</v>
      </c>
      <c r="C472" t="s">
        <v>1249</v>
      </c>
      <c r="D472" t="s">
        <v>1316</v>
      </c>
      <c r="E472">
        <v>26</v>
      </c>
      <c r="F472" t="str">
        <f t="shared" si="21"/>
        <v>adult</v>
      </c>
      <c r="G472" t="s">
        <v>430</v>
      </c>
      <c r="H472" t="str">
        <f t="shared" si="22"/>
        <v>Nov</v>
      </c>
      <c r="I472" t="s">
        <v>26</v>
      </c>
      <c r="J472" t="s">
        <v>18</v>
      </c>
      <c r="K472" t="s">
        <v>49</v>
      </c>
      <c r="L472" t="s">
        <v>20</v>
      </c>
      <c r="M472">
        <v>4</v>
      </c>
      <c r="N472" t="str">
        <f t="shared" si="23"/>
        <v>high</v>
      </c>
      <c r="O472">
        <v>11344</v>
      </c>
      <c r="P472" t="s">
        <v>79</v>
      </c>
      <c r="Q472" t="s">
        <v>80</v>
      </c>
    </row>
    <row r="473" spans="1:17" x14ac:dyDescent="0.35">
      <c r="A473">
        <v>472</v>
      </c>
      <c r="B473" t="s">
        <v>1250</v>
      </c>
      <c r="C473" t="s">
        <v>1251</v>
      </c>
      <c r="D473" t="s">
        <v>1316</v>
      </c>
      <c r="E473">
        <v>47</v>
      </c>
      <c r="F473" t="str">
        <f t="shared" si="21"/>
        <v>senior</v>
      </c>
      <c r="G473" t="s">
        <v>803</v>
      </c>
      <c r="H473" t="str">
        <f t="shared" si="22"/>
        <v>Sep</v>
      </c>
      <c r="I473" t="s">
        <v>26</v>
      </c>
      <c r="J473" t="s">
        <v>56</v>
      </c>
      <c r="K473" t="s">
        <v>49</v>
      </c>
      <c r="L473" t="s">
        <v>66</v>
      </c>
      <c r="M473">
        <v>5</v>
      </c>
      <c r="N473" t="str">
        <f t="shared" si="23"/>
        <v>high</v>
      </c>
      <c r="O473">
        <v>10270</v>
      </c>
      <c r="P473" t="s">
        <v>44</v>
      </c>
      <c r="Q473" t="s">
        <v>45</v>
      </c>
    </row>
    <row r="474" spans="1:17" x14ac:dyDescent="0.35">
      <c r="A474">
        <v>473</v>
      </c>
      <c r="B474" t="s">
        <v>1252</v>
      </c>
      <c r="C474" t="s">
        <v>1253</v>
      </c>
      <c r="D474" t="s">
        <v>1315</v>
      </c>
      <c r="E474">
        <v>28</v>
      </c>
      <c r="F474" t="str">
        <f t="shared" si="21"/>
        <v>adult</v>
      </c>
      <c r="G474" t="s">
        <v>978</v>
      </c>
      <c r="H474" t="str">
        <f t="shared" si="22"/>
        <v>Feb</v>
      </c>
      <c r="I474" t="s">
        <v>31</v>
      </c>
      <c r="J474" t="s">
        <v>18</v>
      </c>
      <c r="K474" t="s">
        <v>62</v>
      </c>
      <c r="L474" t="s">
        <v>32</v>
      </c>
      <c r="M474">
        <v>4</v>
      </c>
      <c r="N474" t="str">
        <f t="shared" si="23"/>
        <v>high</v>
      </c>
      <c r="O474">
        <v>10844</v>
      </c>
      <c r="P474" t="s">
        <v>57</v>
      </c>
      <c r="Q474" t="s">
        <v>58</v>
      </c>
    </row>
    <row r="475" spans="1:17" x14ac:dyDescent="0.35">
      <c r="A475">
        <v>474</v>
      </c>
      <c r="B475" t="s">
        <v>1254</v>
      </c>
      <c r="C475" t="s">
        <v>1255</v>
      </c>
      <c r="D475" t="s">
        <v>1315</v>
      </c>
      <c r="E475">
        <v>41</v>
      </c>
      <c r="F475" t="str">
        <f t="shared" si="21"/>
        <v>adult</v>
      </c>
      <c r="G475" t="s">
        <v>16</v>
      </c>
      <c r="H475" t="str">
        <f t="shared" si="22"/>
        <v>Apr</v>
      </c>
      <c r="I475" t="s">
        <v>31</v>
      </c>
      <c r="J475" t="s">
        <v>56</v>
      </c>
      <c r="K475" t="s">
        <v>38</v>
      </c>
      <c r="L475" t="s">
        <v>32</v>
      </c>
      <c r="M475">
        <v>5</v>
      </c>
      <c r="N475" t="str">
        <f t="shared" si="23"/>
        <v>high</v>
      </c>
      <c r="O475">
        <v>13515</v>
      </c>
      <c r="P475" t="s">
        <v>99</v>
      </c>
      <c r="Q475" t="s">
        <v>100</v>
      </c>
    </row>
    <row r="476" spans="1:17" x14ac:dyDescent="0.35">
      <c r="A476">
        <v>475</v>
      </c>
      <c r="B476" t="s">
        <v>1256</v>
      </c>
      <c r="C476" t="s">
        <v>1257</v>
      </c>
      <c r="D476" t="s">
        <v>1316</v>
      </c>
      <c r="E476">
        <v>55</v>
      </c>
      <c r="F476" t="str">
        <f t="shared" si="21"/>
        <v>senior</v>
      </c>
      <c r="G476" t="s">
        <v>594</v>
      </c>
      <c r="H476" t="str">
        <f t="shared" si="22"/>
        <v>Feb</v>
      </c>
      <c r="I476" t="s">
        <v>17</v>
      </c>
      <c r="J476" t="s">
        <v>56</v>
      </c>
      <c r="K476" t="s">
        <v>49</v>
      </c>
      <c r="L476" t="s">
        <v>20</v>
      </c>
      <c r="M476">
        <v>4</v>
      </c>
      <c r="N476" t="str">
        <f t="shared" si="23"/>
        <v>high</v>
      </c>
      <c r="O476">
        <v>11896</v>
      </c>
      <c r="P476" t="s">
        <v>33</v>
      </c>
      <c r="Q476" t="s">
        <v>33</v>
      </c>
    </row>
    <row r="477" spans="1:17" x14ac:dyDescent="0.35">
      <c r="A477">
        <v>476</v>
      </c>
      <c r="B477" t="s">
        <v>1258</v>
      </c>
      <c r="C477" t="s">
        <v>1259</v>
      </c>
      <c r="D477" t="s">
        <v>1316</v>
      </c>
      <c r="E477">
        <v>31</v>
      </c>
      <c r="F477" t="str">
        <f t="shared" si="21"/>
        <v>adult</v>
      </c>
      <c r="G477" t="s">
        <v>521</v>
      </c>
      <c r="H477" t="str">
        <f t="shared" si="22"/>
        <v>Nov</v>
      </c>
      <c r="I477" t="s">
        <v>17</v>
      </c>
      <c r="J477" t="s">
        <v>18</v>
      </c>
      <c r="K477" t="s">
        <v>19</v>
      </c>
      <c r="L477" t="s">
        <v>66</v>
      </c>
      <c r="M477">
        <v>4</v>
      </c>
      <c r="N477" t="str">
        <f t="shared" si="23"/>
        <v>high</v>
      </c>
      <c r="O477">
        <v>3352</v>
      </c>
      <c r="P477" t="s">
        <v>21</v>
      </c>
      <c r="Q477" t="s">
        <v>22</v>
      </c>
    </row>
    <row r="478" spans="1:17" x14ac:dyDescent="0.35">
      <c r="A478">
        <v>477</v>
      </c>
      <c r="B478" t="s">
        <v>1260</v>
      </c>
      <c r="C478" t="s">
        <v>1261</v>
      </c>
      <c r="D478" t="s">
        <v>1316</v>
      </c>
      <c r="E478">
        <v>46</v>
      </c>
      <c r="F478" t="str">
        <f t="shared" si="21"/>
        <v>senior</v>
      </c>
      <c r="G478" t="s">
        <v>1262</v>
      </c>
      <c r="H478" t="str">
        <f t="shared" si="22"/>
        <v>Jun</v>
      </c>
      <c r="I478" t="s">
        <v>26</v>
      </c>
      <c r="J478" t="s">
        <v>56</v>
      </c>
      <c r="K478" t="s">
        <v>62</v>
      </c>
      <c r="L478" t="s">
        <v>32</v>
      </c>
      <c r="M478">
        <v>3</v>
      </c>
      <c r="N478" t="str">
        <f t="shared" si="23"/>
        <v>high</v>
      </c>
      <c r="O478">
        <v>6987</v>
      </c>
      <c r="P478" t="s">
        <v>99</v>
      </c>
      <c r="Q478" t="s">
        <v>100</v>
      </c>
    </row>
    <row r="479" spans="1:17" x14ac:dyDescent="0.35">
      <c r="A479">
        <v>478</v>
      </c>
      <c r="B479" t="s">
        <v>1263</v>
      </c>
      <c r="C479" t="s">
        <v>1264</v>
      </c>
      <c r="D479" t="s">
        <v>1315</v>
      </c>
      <c r="E479">
        <v>31</v>
      </c>
      <c r="F479" t="str">
        <f t="shared" si="21"/>
        <v>adult</v>
      </c>
      <c r="G479" t="s">
        <v>48</v>
      </c>
      <c r="H479" t="str">
        <f t="shared" si="22"/>
        <v>Apr</v>
      </c>
      <c r="I479" t="s">
        <v>26</v>
      </c>
      <c r="J479" t="s">
        <v>37</v>
      </c>
      <c r="K479" t="s">
        <v>38</v>
      </c>
      <c r="L479" t="s">
        <v>66</v>
      </c>
      <c r="M479">
        <v>1</v>
      </c>
      <c r="N479" t="str">
        <f t="shared" si="23"/>
        <v>low</v>
      </c>
      <c r="O479">
        <v>877</v>
      </c>
      <c r="P479" t="s">
        <v>44</v>
      </c>
      <c r="Q479" t="s">
        <v>45</v>
      </c>
    </row>
    <row r="480" spans="1:17" x14ac:dyDescent="0.35">
      <c r="A480">
        <v>479</v>
      </c>
      <c r="B480" t="s">
        <v>1265</v>
      </c>
      <c r="C480" t="s">
        <v>1266</v>
      </c>
      <c r="D480" t="s">
        <v>1315</v>
      </c>
      <c r="E480">
        <v>18</v>
      </c>
      <c r="F480" t="str">
        <f t="shared" si="21"/>
        <v>teen</v>
      </c>
      <c r="G480" t="s">
        <v>1262</v>
      </c>
      <c r="H480" t="str">
        <f t="shared" si="22"/>
        <v>Jun</v>
      </c>
      <c r="I480" t="s">
        <v>17</v>
      </c>
      <c r="J480" t="s">
        <v>56</v>
      </c>
      <c r="K480" t="s">
        <v>38</v>
      </c>
      <c r="L480" t="s">
        <v>20</v>
      </c>
      <c r="M480">
        <v>4</v>
      </c>
      <c r="N480" t="str">
        <f t="shared" si="23"/>
        <v>high</v>
      </c>
      <c r="O480">
        <v>10288</v>
      </c>
      <c r="P480" t="s">
        <v>40</v>
      </c>
      <c r="Q480" t="s">
        <v>22</v>
      </c>
    </row>
    <row r="481" spans="1:17" x14ac:dyDescent="0.35">
      <c r="A481">
        <v>480</v>
      </c>
      <c r="B481" t="s">
        <v>1267</v>
      </c>
      <c r="C481" t="s">
        <v>1268</v>
      </c>
      <c r="D481" t="s">
        <v>1315</v>
      </c>
      <c r="E481">
        <v>41</v>
      </c>
      <c r="F481" t="str">
        <f t="shared" si="21"/>
        <v>adult</v>
      </c>
      <c r="G481" t="s">
        <v>1269</v>
      </c>
      <c r="H481" t="str">
        <f t="shared" si="22"/>
        <v>Jul</v>
      </c>
      <c r="I481" t="s">
        <v>31</v>
      </c>
      <c r="J481" t="s">
        <v>18</v>
      </c>
      <c r="K481" t="s">
        <v>49</v>
      </c>
      <c r="L481" t="s">
        <v>66</v>
      </c>
      <c r="M481">
        <v>4</v>
      </c>
      <c r="N481" t="str">
        <f t="shared" si="23"/>
        <v>high</v>
      </c>
      <c r="O481">
        <v>6276</v>
      </c>
      <c r="P481" t="s">
        <v>57</v>
      </c>
      <c r="Q481" t="s">
        <v>58</v>
      </c>
    </row>
    <row r="482" spans="1:17" x14ac:dyDescent="0.35">
      <c r="A482">
        <v>481</v>
      </c>
      <c r="B482" t="s">
        <v>1270</v>
      </c>
      <c r="C482" t="s">
        <v>1271</v>
      </c>
      <c r="D482" t="s">
        <v>1316</v>
      </c>
      <c r="E482">
        <v>48</v>
      </c>
      <c r="F482" t="str">
        <f t="shared" si="21"/>
        <v>senior</v>
      </c>
      <c r="G482" t="s">
        <v>1272</v>
      </c>
      <c r="H482" t="str">
        <f t="shared" si="22"/>
        <v>Nov</v>
      </c>
      <c r="I482" t="s">
        <v>26</v>
      </c>
      <c r="J482" t="s">
        <v>18</v>
      </c>
      <c r="K482" t="s">
        <v>62</v>
      </c>
      <c r="L482" t="s">
        <v>39</v>
      </c>
      <c r="M482">
        <v>3</v>
      </c>
      <c r="N482" t="str">
        <f t="shared" si="23"/>
        <v>low</v>
      </c>
      <c r="O482">
        <v>2568</v>
      </c>
      <c r="P482" t="s">
        <v>33</v>
      </c>
      <c r="Q482" t="s">
        <v>33</v>
      </c>
    </row>
    <row r="483" spans="1:17" x14ac:dyDescent="0.35">
      <c r="A483">
        <v>482</v>
      </c>
      <c r="B483" t="s">
        <v>1273</v>
      </c>
      <c r="C483" t="s">
        <v>1274</v>
      </c>
      <c r="D483" t="s">
        <v>1316</v>
      </c>
      <c r="E483">
        <v>46</v>
      </c>
      <c r="F483" t="str">
        <f t="shared" si="21"/>
        <v>senior</v>
      </c>
      <c r="G483" t="s">
        <v>307</v>
      </c>
      <c r="H483" t="str">
        <f t="shared" si="22"/>
        <v>Jul</v>
      </c>
      <c r="I483" t="s">
        <v>26</v>
      </c>
      <c r="J483" t="s">
        <v>37</v>
      </c>
      <c r="K483" t="s">
        <v>19</v>
      </c>
      <c r="L483" t="s">
        <v>39</v>
      </c>
      <c r="M483">
        <v>3</v>
      </c>
      <c r="N483" t="str">
        <f t="shared" si="23"/>
        <v>high</v>
      </c>
      <c r="O483">
        <v>4602</v>
      </c>
      <c r="P483" t="s">
        <v>44</v>
      </c>
      <c r="Q483" t="s">
        <v>45</v>
      </c>
    </row>
    <row r="484" spans="1:17" x14ac:dyDescent="0.35">
      <c r="A484">
        <v>483</v>
      </c>
      <c r="B484" t="s">
        <v>1275</v>
      </c>
      <c r="C484" t="s">
        <v>1276</v>
      </c>
      <c r="D484" t="s">
        <v>1316</v>
      </c>
      <c r="E484">
        <v>50</v>
      </c>
      <c r="F484" t="str">
        <f t="shared" si="21"/>
        <v>senior</v>
      </c>
      <c r="G484" t="s">
        <v>789</v>
      </c>
      <c r="H484" t="str">
        <f t="shared" si="22"/>
        <v>Nov</v>
      </c>
      <c r="I484" t="s">
        <v>26</v>
      </c>
      <c r="J484" t="s">
        <v>56</v>
      </c>
      <c r="K484" t="s">
        <v>49</v>
      </c>
      <c r="L484" t="s">
        <v>66</v>
      </c>
      <c r="M484">
        <v>5</v>
      </c>
      <c r="N484" t="str">
        <f t="shared" si="23"/>
        <v>high</v>
      </c>
      <c r="O484">
        <v>9455</v>
      </c>
      <c r="P484" t="s">
        <v>27</v>
      </c>
      <c r="Q484" t="s">
        <v>22</v>
      </c>
    </row>
    <row r="485" spans="1:17" x14ac:dyDescent="0.35">
      <c r="A485">
        <v>484</v>
      </c>
      <c r="B485" t="s">
        <v>1277</v>
      </c>
      <c r="C485" t="s">
        <v>1278</v>
      </c>
      <c r="D485" t="s">
        <v>1315</v>
      </c>
      <c r="E485">
        <v>37</v>
      </c>
      <c r="F485" t="str">
        <f t="shared" si="21"/>
        <v>adult</v>
      </c>
      <c r="G485" t="s">
        <v>301</v>
      </c>
      <c r="H485" t="str">
        <f t="shared" si="22"/>
        <v>Mar</v>
      </c>
      <c r="I485" t="s">
        <v>31</v>
      </c>
      <c r="J485" t="s">
        <v>18</v>
      </c>
      <c r="K485" t="s">
        <v>49</v>
      </c>
      <c r="L485" t="s">
        <v>32</v>
      </c>
      <c r="M485">
        <v>4</v>
      </c>
      <c r="N485" t="str">
        <f t="shared" si="23"/>
        <v>high</v>
      </c>
      <c r="O485">
        <v>6452</v>
      </c>
      <c r="P485" t="s">
        <v>57</v>
      </c>
      <c r="Q485" t="s">
        <v>58</v>
      </c>
    </row>
    <row r="486" spans="1:17" x14ac:dyDescent="0.35">
      <c r="A486">
        <v>485</v>
      </c>
      <c r="B486" t="s">
        <v>1279</v>
      </c>
      <c r="C486" t="s">
        <v>1280</v>
      </c>
      <c r="D486" t="s">
        <v>1315</v>
      </c>
      <c r="E486">
        <v>41</v>
      </c>
      <c r="F486" t="str">
        <f t="shared" si="21"/>
        <v>adult</v>
      </c>
      <c r="G486" t="s">
        <v>811</v>
      </c>
      <c r="H486" t="str">
        <f t="shared" si="22"/>
        <v>May</v>
      </c>
      <c r="I486" t="s">
        <v>31</v>
      </c>
      <c r="J486" t="s">
        <v>18</v>
      </c>
      <c r="K486" t="s">
        <v>49</v>
      </c>
      <c r="L486" t="s">
        <v>39</v>
      </c>
      <c r="M486">
        <v>2</v>
      </c>
      <c r="N486" t="str">
        <f t="shared" si="23"/>
        <v>low</v>
      </c>
      <c r="O486">
        <v>1150</v>
      </c>
      <c r="P486" t="s">
        <v>27</v>
      </c>
      <c r="Q486" t="s">
        <v>22</v>
      </c>
    </row>
    <row r="487" spans="1:17" x14ac:dyDescent="0.35">
      <c r="A487">
        <v>486</v>
      </c>
      <c r="B487" t="s">
        <v>1281</v>
      </c>
      <c r="C487" t="s">
        <v>1282</v>
      </c>
      <c r="D487" t="s">
        <v>1315</v>
      </c>
      <c r="E487">
        <v>18</v>
      </c>
      <c r="F487" t="str">
        <f t="shared" si="21"/>
        <v>teen</v>
      </c>
      <c r="G487" t="s">
        <v>1283</v>
      </c>
      <c r="H487" t="str">
        <f t="shared" si="22"/>
        <v>Sep</v>
      </c>
      <c r="I487" t="s">
        <v>31</v>
      </c>
      <c r="J487" t="s">
        <v>56</v>
      </c>
      <c r="K487" t="s">
        <v>62</v>
      </c>
      <c r="L487" t="s">
        <v>39</v>
      </c>
      <c r="M487">
        <v>2</v>
      </c>
      <c r="N487" t="str">
        <f t="shared" si="23"/>
        <v>low</v>
      </c>
      <c r="O487">
        <v>1092</v>
      </c>
      <c r="P487" t="s">
        <v>33</v>
      </c>
      <c r="Q487" t="s">
        <v>33</v>
      </c>
    </row>
    <row r="488" spans="1:17" x14ac:dyDescent="0.35">
      <c r="A488">
        <v>487</v>
      </c>
      <c r="B488" t="s">
        <v>1284</v>
      </c>
      <c r="C488" t="s">
        <v>1285</v>
      </c>
      <c r="D488" t="s">
        <v>1315</v>
      </c>
      <c r="E488">
        <v>38</v>
      </c>
      <c r="F488" t="str">
        <f t="shared" si="21"/>
        <v>adult</v>
      </c>
      <c r="G488" t="s">
        <v>1286</v>
      </c>
      <c r="H488" t="str">
        <f t="shared" si="22"/>
        <v>Sep</v>
      </c>
      <c r="I488" t="s">
        <v>17</v>
      </c>
      <c r="J488" t="s">
        <v>56</v>
      </c>
      <c r="K488" t="s">
        <v>62</v>
      </c>
      <c r="L488" t="s">
        <v>32</v>
      </c>
      <c r="M488">
        <v>4</v>
      </c>
      <c r="N488" t="str">
        <f t="shared" si="23"/>
        <v>low</v>
      </c>
      <c r="O488">
        <v>2240</v>
      </c>
      <c r="P488" t="s">
        <v>57</v>
      </c>
      <c r="Q488" t="s">
        <v>58</v>
      </c>
    </row>
    <row r="489" spans="1:17" x14ac:dyDescent="0.35">
      <c r="A489">
        <v>488</v>
      </c>
      <c r="B489" t="s">
        <v>1287</v>
      </c>
      <c r="C489" t="s">
        <v>1288</v>
      </c>
      <c r="D489" t="s">
        <v>1315</v>
      </c>
      <c r="E489">
        <v>31</v>
      </c>
      <c r="F489" t="str">
        <f t="shared" si="21"/>
        <v>adult</v>
      </c>
      <c r="G489" t="s">
        <v>673</v>
      </c>
      <c r="H489" t="str">
        <f t="shared" si="22"/>
        <v>Jul</v>
      </c>
      <c r="I489" t="s">
        <v>26</v>
      </c>
      <c r="J489" t="s">
        <v>56</v>
      </c>
      <c r="K489" t="s">
        <v>49</v>
      </c>
      <c r="L489" t="s">
        <v>39</v>
      </c>
      <c r="M489">
        <v>5</v>
      </c>
      <c r="N489" t="str">
        <f t="shared" si="23"/>
        <v>high</v>
      </c>
      <c r="O489">
        <v>9490</v>
      </c>
      <c r="P489" t="s">
        <v>99</v>
      </c>
      <c r="Q489" t="s">
        <v>100</v>
      </c>
    </row>
    <row r="490" spans="1:17" x14ac:dyDescent="0.35">
      <c r="A490">
        <v>489</v>
      </c>
      <c r="B490" t="s">
        <v>1289</v>
      </c>
      <c r="C490" t="s">
        <v>1290</v>
      </c>
      <c r="D490" t="s">
        <v>1315</v>
      </c>
      <c r="E490">
        <v>45</v>
      </c>
      <c r="F490" t="str">
        <f t="shared" si="21"/>
        <v>adult</v>
      </c>
      <c r="G490" t="s">
        <v>855</v>
      </c>
      <c r="H490" t="str">
        <f t="shared" si="22"/>
        <v>Oct</v>
      </c>
      <c r="I490" t="s">
        <v>26</v>
      </c>
      <c r="J490" t="s">
        <v>37</v>
      </c>
      <c r="K490" t="s">
        <v>38</v>
      </c>
      <c r="L490" t="s">
        <v>66</v>
      </c>
      <c r="M490">
        <v>2</v>
      </c>
      <c r="N490" t="str">
        <f t="shared" si="23"/>
        <v>low</v>
      </c>
      <c r="O490">
        <v>2894</v>
      </c>
      <c r="P490" t="s">
        <v>44</v>
      </c>
      <c r="Q490" t="s">
        <v>45</v>
      </c>
    </row>
    <row r="491" spans="1:17" x14ac:dyDescent="0.35">
      <c r="A491">
        <v>490</v>
      </c>
      <c r="B491" t="s">
        <v>1291</v>
      </c>
      <c r="C491" t="s">
        <v>1292</v>
      </c>
      <c r="D491" t="s">
        <v>1315</v>
      </c>
      <c r="E491">
        <v>41</v>
      </c>
      <c r="F491" t="str">
        <f t="shared" si="21"/>
        <v>adult</v>
      </c>
      <c r="G491" t="s">
        <v>746</v>
      </c>
      <c r="H491" t="str">
        <f t="shared" si="22"/>
        <v>Sep</v>
      </c>
      <c r="I491" t="s">
        <v>26</v>
      </c>
      <c r="J491" t="s">
        <v>18</v>
      </c>
      <c r="K491" t="s">
        <v>49</v>
      </c>
      <c r="L491" t="s">
        <v>20</v>
      </c>
      <c r="M491">
        <v>2</v>
      </c>
      <c r="N491" t="str">
        <f t="shared" si="23"/>
        <v>high</v>
      </c>
      <c r="O491">
        <v>3510</v>
      </c>
      <c r="P491" t="s">
        <v>33</v>
      </c>
      <c r="Q491" t="s">
        <v>33</v>
      </c>
    </row>
    <row r="492" spans="1:17" x14ac:dyDescent="0.35">
      <c r="A492">
        <v>491</v>
      </c>
      <c r="B492" t="s">
        <v>1293</v>
      </c>
      <c r="C492" t="s">
        <v>1294</v>
      </c>
      <c r="D492" t="s">
        <v>1316</v>
      </c>
      <c r="E492">
        <v>40</v>
      </c>
      <c r="F492" t="str">
        <f t="shared" si="21"/>
        <v>adult</v>
      </c>
      <c r="G492" t="s">
        <v>1295</v>
      </c>
      <c r="H492" t="str">
        <f t="shared" si="22"/>
        <v>Mar</v>
      </c>
      <c r="I492" t="s">
        <v>17</v>
      </c>
      <c r="J492" t="s">
        <v>37</v>
      </c>
      <c r="K492" t="s">
        <v>62</v>
      </c>
      <c r="L492" t="s">
        <v>20</v>
      </c>
      <c r="M492">
        <v>2</v>
      </c>
      <c r="N492" t="str">
        <f t="shared" si="23"/>
        <v>high</v>
      </c>
      <c r="O492">
        <v>4238</v>
      </c>
      <c r="P492" t="s">
        <v>79</v>
      </c>
      <c r="Q492" t="s">
        <v>80</v>
      </c>
    </row>
    <row r="493" spans="1:17" x14ac:dyDescent="0.35">
      <c r="A493">
        <v>492</v>
      </c>
      <c r="B493" t="s">
        <v>1296</v>
      </c>
      <c r="C493" t="s">
        <v>1297</v>
      </c>
      <c r="D493" t="s">
        <v>1315</v>
      </c>
      <c r="E493">
        <v>20</v>
      </c>
      <c r="F493" t="str">
        <f t="shared" si="21"/>
        <v>teen</v>
      </c>
      <c r="G493" t="s">
        <v>526</v>
      </c>
      <c r="H493" t="str">
        <f t="shared" si="22"/>
        <v>Mar</v>
      </c>
      <c r="I493" t="s">
        <v>31</v>
      </c>
      <c r="J493" t="s">
        <v>18</v>
      </c>
      <c r="K493" t="s">
        <v>49</v>
      </c>
      <c r="L493" t="s">
        <v>66</v>
      </c>
      <c r="M493">
        <v>3</v>
      </c>
      <c r="N493" t="str">
        <f t="shared" si="23"/>
        <v>high</v>
      </c>
      <c r="O493">
        <v>6951</v>
      </c>
      <c r="P493" t="s">
        <v>21</v>
      </c>
      <c r="Q493" t="s">
        <v>22</v>
      </c>
    </row>
    <row r="494" spans="1:17" x14ac:dyDescent="0.35">
      <c r="A494">
        <v>493</v>
      </c>
      <c r="B494" t="s">
        <v>1298</v>
      </c>
      <c r="C494" t="s">
        <v>1299</v>
      </c>
      <c r="D494" t="s">
        <v>1316</v>
      </c>
      <c r="E494">
        <v>37</v>
      </c>
      <c r="F494" t="str">
        <f t="shared" si="21"/>
        <v>adult</v>
      </c>
      <c r="G494" t="s">
        <v>906</v>
      </c>
      <c r="H494" t="str">
        <f t="shared" si="22"/>
        <v>Feb</v>
      </c>
      <c r="I494" t="s">
        <v>31</v>
      </c>
      <c r="J494" t="s">
        <v>56</v>
      </c>
      <c r="K494" t="s">
        <v>38</v>
      </c>
      <c r="L494" t="s">
        <v>20</v>
      </c>
      <c r="M494">
        <v>4</v>
      </c>
      <c r="N494" t="str">
        <f t="shared" si="23"/>
        <v>low</v>
      </c>
      <c r="O494">
        <v>2956</v>
      </c>
      <c r="P494" t="s">
        <v>40</v>
      </c>
      <c r="Q494" t="s">
        <v>22</v>
      </c>
    </row>
    <row r="495" spans="1:17" x14ac:dyDescent="0.35">
      <c r="A495">
        <v>494</v>
      </c>
      <c r="B495" t="s">
        <v>1300</v>
      </c>
      <c r="C495" t="s">
        <v>1301</v>
      </c>
      <c r="D495" t="s">
        <v>1315</v>
      </c>
      <c r="E495">
        <v>22</v>
      </c>
      <c r="F495" t="str">
        <f t="shared" si="21"/>
        <v>teen</v>
      </c>
      <c r="G495" t="s">
        <v>126</v>
      </c>
      <c r="H495" t="str">
        <f t="shared" si="22"/>
        <v>May</v>
      </c>
      <c r="I495" t="s">
        <v>31</v>
      </c>
      <c r="J495" t="s">
        <v>18</v>
      </c>
      <c r="K495" t="s">
        <v>62</v>
      </c>
      <c r="L495" t="s">
        <v>39</v>
      </c>
      <c r="M495">
        <v>5</v>
      </c>
      <c r="N495" t="str">
        <f t="shared" si="23"/>
        <v>high</v>
      </c>
      <c r="O495">
        <v>11145</v>
      </c>
      <c r="P495" t="s">
        <v>21</v>
      </c>
      <c r="Q495" t="s">
        <v>22</v>
      </c>
    </row>
    <row r="496" spans="1:17" x14ac:dyDescent="0.35">
      <c r="A496">
        <v>495</v>
      </c>
      <c r="B496" t="s">
        <v>1302</v>
      </c>
      <c r="C496" t="s">
        <v>1303</v>
      </c>
      <c r="D496" t="s">
        <v>1316</v>
      </c>
      <c r="E496">
        <v>30</v>
      </c>
      <c r="F496" t="str">
        <f t="shared" si="21"/>
        <v>adult</v>
      </c>
      <c r="G496" t="s">
        <v>701</v>
      </c>
      <c r="H496" t="str">
        <f t="shared" si="22"/>
        <v>Apr</v>
      </c>
      <c r="I496" t="s">
        <v>31</v>
      </c>
      <c r="J496" t="s">
        <v>37</v>
      </c>
      <c r="K496" t="s">
        <v>38</v>
      </c>
      <c r="L496" t="s">
        <v>66</v>
      </c>
      <c r="M496">
        <v>3</v>
      </c>
      <c r="N496" t="str">
        <f t="shared" si="23"/>
        <v>high</v>
      </c>
      <c r="O496">
        <v>5046</v>
      </c>
      <c r="P496" t="s">
        <v>99</v>
      </c>
      <c r="Q496" t="s">
        <v>100</v>
      </c>
    </row>
    <row r="497" spans="1:17" x14ac:dyDescent="0.35">
      <c r="A497">
        <v>496</v>
      </c>
      <c r="B497" t="s">
        <v>1304</v>
      </c>
      <c r="C497" t="s">
        <v>1305</v>
      </c>
      <c r="D497" t="s">
        <v>1315</v>
      </c>
      <c r="E497">
        <v>52</v>
      </c>
      <c r="F497" t="str">
        <f t="shared" si="21"/>
        <v>senior</v>
      </c>
      <c r="G497" t="s">
        <v>103</v>
      </c>
      <c r="H497" t="str">
        <f t="shared" si="22"/>
        <v>Oct</v>
      </c>
      <c r="I497" t="s">
        <v>26</v>
      </c>
      <c r="J497" t="s">
        <v>18</v>
      </c>
      <c r="K497" t="s">
        <v>38</v>
      </c>
      <c r="L497" t="s">
        <v>39</v>
      </c>
      <c r="M497">
        <v>3</v>
      </c>
      <c r="N497" t="str">
        <f t="shared" si="23"/>
        <v>high</v>
      </c>
      <c r="O497">
        <v>5481</v>
      </c>
      <c r="P497" t="s">
        <v>21</v>
      </c>
      <c r="Q497" t="s">
        <v>22</v>
      </c>
    </row>
    <row r="498" spans="1:17" x14ac:dyDescent="0.35">
      <c r="A498">
        <v>497</v>
      </c>
      <c r="B498" t="s">
        <v>1306</v>
      </c>
      <c r="C498" t="s">
        <v>1307</v>
      </c>
      <c r="D498" t="s">
        <v>1316</v>
      </c>
      <c r="E498">
        <v>21</v>
      </c>
      <c r="F498" t="str">
        <f t="shared" si="21"/>
        <v>teen</v>
      </c>
      <c r="G498" t="s">
        <v>507</v>
      </c>
      <c r="H498" t="str">
        <f t="shared" si="22"/>
        <v>Feb</v>
      </c>
      <c r="I498" t="s">
        <v>26</v>
      </c>
      <c r="J498" t="s">
        <v>18</v>
      </c>
      <c r="K498" t="s">
        <v>49</v>
      </c>
      <c r="L498" t="s">
        <v>39</v>
      </c>
      <c r="M498">
        <v>3</v>
      </c>
      <c r="N498" t="str">
        <f t="shared" si="23"/>
        <v>high</v>
      </c>
      <c r="O498">
        <v>3108</v>
      </c>
      <c r="P498" t="s">
        <v>21</v>
      </c>
      <c r="Q498" t="s">
        <v>22</v>
      </c>
    </row>
    <row r="499" spans="1:17" x14ac:dyDescent="0.35">
      <c r="A499">
        <v>498</v>
      </c>
      <c r="B499" t="s">
        <v>1308</v>
      </c>
      <c r="C499" t="s">
        <v>1309</v>
      </c>
      <c r="D499" t="s">
        <v>1316</v>
      </c>
      <c r="E499">
        <v>60</v>
      </c>
      <c r="F499" t="str">
        <f t="shared" si="21"/>
        <v>senior</v>
      </c>
      <c r="G499" t="s">
        <v>662</v>
      </c>
      <c r="H499" t="str">
        <f t="shared" si="22"/>
        <v>May</v>
      </c>
      <c r="I499" t="s">
        <v>17</v>
      </c>
      <c r="J499" t="s">
        <v>37</v>
      </c>
      <c r="K499" t="s">
        <v>38</v>
      </c>
      <c r="L499" t="s">
        <v>66</v>
      </c>
      <c r="M499">
        <v>2</v>
      </c>
      <c r="N499" t="str">
        <f t="shared" si="23"/>
        <v>low</v>
      </c>
      <c r="O499">
        <v>2486</v>
      </c>
      <c r="P499" t="s">
        <v>79</v>
      </c>
      <c r="Q499" t="s">
        <v>80</v>
      </c>
    </row>
    <row r="500" spans="1:17" x14ac:dyDescent="0.35">
      <c r="A500">
        <v>499</v>
      </c>
      <c r="B500" t="s">
        <v>1310</v>
      </c>
      <c r="C500" t="s">
        <v>1311</v>
      </c>
      <c r="D500" t="s">
        <v>1316</v>
      </c>
      <c r="E500">
        <v>50</v>
      </c>
      <c r="F500" t="str">
        <f t="shared" si="21"/>
        <v>senior</v>
      </c>
      <c r="G500" t="s">
        <v>280</v>
      </c>
      <c r="H500" t="str">
        <f t="shared" si="22"/>
        <v>Feb</v>
      </c>
      <c r="I500" t="s">
        <v>31</v>
      </c>
      <c r="J500" t="s">
        <v>18</v>
      </c>
      <c r="K500" t="s">
        <v>19</v>
      </c>
      <c r="L500" t="s">
        <v>20</v>
      </c>
      <c r="M500">
        <v>4</v>
      </c>
      <c r="N500" t="str">
        <f t="shared" si="23"/>
        <v>high</v>
      </c>
      <c r="O500">
        <v>6532</v>
      </c>
      <c r="P500" t="s">
        <v>33</v>
      </c>
      <c r="Q500" t="s">
        <v>33</v>
      </c>
    </row>
    <row r="501" spans="1:17" x14ac:dyDescent="0.35">
      <c r="A501">
        <v>500</v>
      </c>
      <c r="B501" t="s">
        <v>1312</v>
      </c>
      <c r="C501" t="s">
        <v>1313</v>
      </c>
      <c r="D501" t="s">
        <v>1316</v>
      </c>
      <c r="E501">
        <v>27</v>
      </c>
      <c r="F501" t="str">
        <f t="shared" si="21"/>
        <v>adult</v>
      </c>
      <c r="G501" t="s">
        <v>903</v>
      </c>
      <c r="H501" t="str">
        <f t="shared" si="22"/>
        <v>Mar</v>
      </c>
      <c r="I501" t="s">
        <v>31</v>
      </c>
      <c r="J501" t="s">
        <v>56</v>
      </c>
      <c r="K501" t="s">
        <v>49</v>
      </c>
      <c r="L501" t="s">
        <v>20</v>
      </c>
      <c r="M501">
        <v>5</v>
      </c>
      <c r="N501" t="str">
        <f t="shared" si="23"/>
        <v>high</v>
      </c>
      <c r="O501">
        <v>10095</v>
      </c>
      <c r="P501" t="s">
        <v>21</v>
      </c>
      <c r="Q501" t="s">
        <v>22</v>
      </c>
    </row>
  </sheetData>
  <autoFilter ref="A1:R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01 male vs female</vt:lpstr>
      <vt:lpstr>03 order by city</vt:lpstr>
      <vt:lpstr>DASHBOARD SALES ANALYSIS</vt:lpstr>
      <vt:lpstr>02 month-wise Orders</vt:lpstr>
      <vt:lpstr>04 orders by city</vt:lpstr>
      <vt:lpstr>Sales_Data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2026-03-03T03:58:46Z</dcterms:created>
  <dcterms:modified xsi:type="dcterms:W3CDTF">2026-04-07T13:35:44Z</dcterms:modified>
</cp:coreProperties>
</file>